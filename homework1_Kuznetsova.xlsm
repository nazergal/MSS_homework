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240" yWindow="45" windowWidth="20115" windowHeight="7995"/>
  </bookViews>
  <sheets>
    <sheet name="Лист1" sheetId="1" r:id="rId1"/>
  </sheets>
  <calcPr calcId="125725"/>
</workbook>
</file>

<file path=xl/calcChain.xml><?xml version="1.0" encoding="utf-8"?>
<calcChain xmlns="http://schemas.openxmlformats.org/spreadsheetml/2006/main">
  <c r="H16" i="1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G16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G15"/>
  <c r="C5"/>
  <c r="C4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</calcChain>
</file>

<file path=xl/sharedStrings.xml><?xml version="1.0" encoding="utf-8"?>
<sst xmlns="http://schemas.openxmlformats.org/spreadsheetml/2006/main" count="13" uniqueCount="12">
  <si>
    <t>L</t>
  </si>
  <si>
    <t>dx</t>
  </si>
  <si>
    <t>dl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</si>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</sst>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6250181367778466"/>
          <c:y val="9.8941768906793626E-2"/>
          <c:w val="0.67626447196612982"/>
          <c:h val="0.82553122138802415"/>
        </c:manualLayout>
      </c:layout>
      <c:scatterChart>
        <c:scatterStyle val="smoothMarker"/>
        <c:ser>
          <c:idx val="0"/>
          <c:order val="0"/>
          <c:spPr>
            <a:ln w="7620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293.33333333330182</c:v>
                </c:pt>
                <c:pt idx="2">
                  <c:v>286.66666666660433</c:v>
                </c:pt>
                <c:pt idx="3">
                  <c:v>279.99999999990689</c:v>
                </c:pt>
                <c:pt idx="4">
                  <c:v>273.3333333332115</c:v>
                </c:pt>
                <c:pt idx="5">
                  <c:v>266.66666666651616</c:v>
                </c:pt>
                <c:pt idx="6">
                  <c:v>259.99999999982401</c:v>
                </c:pt>
                <c:pt idx="7">
                  <c:v>253.33333333313197</c:v>
                </c:pt>
                <c:pt idx="8">
                  <c:v>246.6666666664442</c:v>
                </c:pt>
                <c:pt idx="9">
                  <c:v>239.99999999975654</c:v>
                </c:pt>
                <c:pt idx="10">
                  <c:v>233.33333333307411</c:v>
                </c:pt>
                <c:pt idx="11">
                  <c:v>226.66666666639176</c:v>
                </c:pt>
                <c:pt idx="12">
                  <c:v>219.99999999971533</c:v>
                </c:pt>
                <c:pt idx="13">
                  <c:v>213.33333333303898</c:v>
                </c:pt>
                <c:pt idx="14">
                  <c:v>206.666666666369</c:v>
                </c:pt>
                <c:pt idx="15">
                  <c:v>199.99999999969907</c:v>
                </c:pt>
                <c:pt idx="16">
                  <c:v>193.33333333303568</c:v>
                </c:pt>
                <c:pt idx="17">
                  <c:v>186.66666666637229</c:v>
                </c:pt>
                <c:pt idx="18">
                  <c:v>179.99999999971533</c:v>
                </c:pt>
                <c:pt idx="19">
                  <c:v>173.33333333305839</c:v>
                </c:pt>
                <c:pt idx="20">
                  <c:v>166.66666666640745</c:v>
                </c:pt>
                <c:pt idx="21">
                  <c:v>159.99999999975651</c:v>
                </c:pt>
                <c:pt idx="22">
                  <c:v>153.33333333311089</c:v>
                </c:pt>
                <c:pt idx="23">
                  <c:v>146.66666666646529</c:v>
                </c:pt>
                <c:pt idx="24">
                  <c:v>139.99999999982407</c:v>
                </c:pt>
                <c:pt idx="25">
                  <c:v>133.33333333318285</c:v>
                </c:pt>
                <c:pt idx="26">
                  <c:v>126.66666666654491</c:v>
                </c:pt>
                <c:pt idx="27">
                  <c:v>119.999999999907</c:v>
                </c:pt>
                <c:pt idx="28">
                  <c:v>113.3333333332711</c:v>
                </c:pt>
                <c:pt idx="29">
                  <c:v>106.66666666663521</c:v>
                </c:pt>
                <c:pt idx="30">
                  <c:v>100</c:v>
                </c:pt>
              </c:numCache>
            </c:numRef>
          </c:yVal>
          <c:smooth val="1"/>
        </c:ser>
        <c:axId val="112586112"/>
        <c:axId val="112584576"/>
      </c:scatterChart>
      <c:valAx>
        <c:axId val="112586112"/>
        <c:scaling>
          <c:orientation val="minMax"/>
          <c:max val="0.1"/>
        </c:scaling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L,[m]</a:t>
                </a:r>
              </a:p>
            </c:rich>
          </c:tx>
          <c:layout>
            <c:manualLayout>
              <c:xMode val="edge"/>
              <c:yMode val="edge"/>
              <c:x val="0.89175452063466942"/>
              <c:y val="0.89487200146493318"/>
            </c:manualLayout>
          </c:layout>
        </c:title>
        <c:numFmt formatCode="#,##0.0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112584576"/>
        <c:crosses val="autoZero"/>
        <c:crossBetween val="midCat"/>
      </c:valAx>
      <c:valAx>
        <c:axId val="112584576"/>
        <c:scaling>
          <c:orientation val="minMax"/>
          <c:min val="0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 sz="2000"/>
                </a:pPr>
                <a:r>
                  <a:rPr lang="en-US" sz="2000"/>
                  <a:t>T,[C]</a:t>
                </a:r>
              </a:p>
            </c:rich>
          </c:tx>
          <c:layout>
            <c:manualLayout>
              <c:xMode val="edge"/>
              <c:yMode val="edge"/>
              <c:x val="5.8426966292134834E-2"/>
              <c:y val="6.8177989379234576E-3"/>
            </c:manualLayout>
          </c:layout>
        </c:title>
        <c:numFmt formatCode="#,##0.0" sourceLinked="0"/>
        <c:tickLblPos val="nextTo"/>
        <c:txPr>
          <a:bodyPr/>
          <a:lstStyle/>
          <a:p>
            <a:pPr>
              <a:defRPr sz="1400" b="1"/>
            </a:pPr>
            <a:endParaRPr lang="ru-RU"/>
          </a:p>
        </c:txPr>
        <c:crossAx val="112586112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174625</xdr:colOff>
      <xdr:row>17</xdr:row>
      <xdr:rowOff>158750</xdr:rowOff>
    </xdr:from>
    <xdr:to>
      <xdr:col>15</xdr:col>
      <xdr:colOff>460375</xdr:colOff>
      <xdr:row>46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18"/>
  <sheetViews>
    <sheetView tabSelected="1" topLeftCell="A2" zoomScale="60" zoomScaleNormal="60" workbookViewId="0">
      <selection activeCell="AG23" sqref="AG23"/>
    </sheetView>
  </sheetViews>
  <sheetFormatPr defaultRowHeight="15"/>
  <cols>
    <col min="7" max="7" width="10.5703125" bestFit="1" customWidth="1"/>
  </cols>
  <sheetData>
    <row r="3" spans="2:36">
      <c r="B3" t="s">
        <v>0</v>
      </c>
      <c r="C3">
        <v>0.1</v>
      </c>
    </row>
    <row r="4" spans="2:36">
      <c r="B4" t="s">
        <v>1</v>
      </c>
      <c r="C4">
        <f>C3/30</f>
        <v>3.3333333333333335E-3</v>
      </c>
    </row>
    <row r="5" spans="2:36">
      <c r="B5" t="s">
        <v>2</v>
      </c>
      <c r="C5">
        <f>(C9*C8*C4^2)/(2*C10)</f>
        <v>0.4333333333333334</v>
      </c>
    </row>
    <row r="6" spans="2:36">
      <c r="B6" t="s">
        <v>3</v>
      </c>
      <c r="C6">
        <v>5000</v>
      </c>
      <c r="D6">
        <v>5000.4333333333334</v>
      </c>
    </row>
    <row r="8" spans="2:36">
      <c r="B8" t="s">
        <v>4</v>
      </c>
      <c r="C8">
        <v>460</v>
      </c>
    </row>
    <row r="9" spans="2:36">
      <c r="B9" t="s">
        <v>5</v>
      </c>
      <c r="C9">
        <v>7800</v>
      </c>
    </row>
    <row r="10" spans="2:36">
      <c r="B10" t="s">
        <v>6</v>
      </c>
      <c r="C10">
        <v>46</v>
      </c>
    </row>
    <row r="11" spans="2:36"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>
      <c r="B12" t="s">
        <v>8</v>
      </c>
      <c r="C12">
        <v>92000</v>
      </c>
      <c r="E12" t="s">
        <v>0</v>
      </c>
      <c r="F12">
        <v>0</v>
      </c>
      <c r="G12">
        <f>F12+$C$4</f>
        <v>3.3333333333333335E-3</v>
      </c>
      <c r="H12">
        <f t="shared" ref="H12:AJ12" si="0">G12+$C$4</f>
        <v>6.6666666666666671E-3</v>
      </c>
      <c r="I12">
        <f t="shared" si="0"/>
        <v>0.01</v>
      </c>
      <c r="J12">
        <f t="shared" si="0"/>
        <v>1.3333333333333334E-2</v>
      </c>
      <c r="K12">
        <f t="shared" si="0"/>
        <v>1.6666666666666666E-2</v>
      </c>
      <c r="L12">
        <f t="shared" si="0"/>
        <v>0.02</v>
      </c>
      <c r="M12">
        <f t="shared" si="0"/>
        <v>2.3333333333333334E-2</v>
      </c>
      <c r="N12">
        <f t="shared" si="0"/>
        <v>2.6666666666666668E-2</v>
      </c>
      <c r="O12">
        <f t="shared" si="0"/>
        <v>3.0000000000000002E-2</v>
      </c>
      <c r="P12">
        <f t="shared" si="0"/>
        <v>3.3333333333333333E-2</v>
      </c>
      <c r="Q12">
        <f t="shared" si="0"/>
        <v>3.6666666666666667E-2</v>
      </c>
      <c r="R12">
        <f t="shared" si="0"/>
        <v>0.04</v>
      </c>
      <c r="S12">
        <f t="shared" si="0"/>
        <v>4.3333333333333335E-2</v>
      </c>
      <c r="T12">
        <f t="shared" si="0"/>
        <v>4.6666666666666669E-2</v>
      </c>
      <c r="U12">
        <f t="shared" si="0"/>
        <v>0.05</v>
      </c>
      <c r="V12">
        <f t="shared" si="0"/>
        <v>5.3333333333333337E-2</v>
      </c>
      <c r="W12">
        <f t="shared" si="0"/>
        <v>5.6666666666666671E-2</v>
      </c>
      <c r="X12">
        <f t="shared" si="0"/>
        <v>6.0000000000000005E-2</v>
      </c>
      <c r="Y12">
        <f t="shared" si="0"/>
        <v>6.3333333333333339E-2</v>
      </c>
      <c r="Z12">
        <f t="shared" si="0"/>
        <v>6.6666666666666666E-2</v>
      </c>
      <c r="AA12">
        <f t="shared" si="0"/>
        <v>6.9999999999999993E-2</v>
      </c>
      <c r="AB12">
        <f t="shared" si="0"/>
        <v>7.333333333333332E-2</v>
      </c>
      <c r="AC12">
        <f t="shared" si="0"/>
        <v>7.6666666666666647E-2</v>
      </c>
      <c r="AD12">
        <f t="shared" si="0"/>
        <v>7.9999999999999974E-2</v>
      </c>
      <c r="AE12">
        <f t="shared" si="0"/>
        <v>8.3333333333333301E-2</v>
      </c>
      <c r="AF12">
        <f t="shared" si="0"/>
        <v>8.6666666666666628E-2</v>
      </c>
      <c r="AG12">
        <f t="shared" si="0"/>
        <v>8.9999999999999955E-2</v>
      </c>
      <c r="AH12">
        <f t="shared" si="0"/>
        <v>9.3333333333333282E-2</v>
      </c>
      <c r="AI12">
        <f t="shared" si="0"/>
        <v>9.6666666666666609E-2</v>
      </c>
      <c r="AJ12">
        <f t="shared" si="0"/>
        <v>9.9999999999999936E-2</v>
      </c>
    </row>
    <row r="13" spans="2:36">
      <c r="B13" t="s">
        <v>9</v>
      </c>
      <c r="C13">
        <v>100</v>
      </c>
      <c r="E13" t="s">
        <v>7</v>
      </c>
      <c r="F13">
        <v>300</v>
      </c>
      <c r="G13">
        <v>293.33333333330182</v>
      </c>
      <c r="H13">
        <v>286.66666666660433</v>
      </c>
      <c r="I13">
        <v>279.99999999990689</v>
      </c>
      <c r="J13">
        <v>273.3333333332115</v>
      </c>
      <c r="K13">
        <v>266.66666666651616</v>
      </c>
      <c r="L13">
        <v>259.99999999982401</v>
      </c>
      <c r="M13">
        <v>253.33333333313197</v>
      </c>
      <c r="N13">
        <v>246.6666666664442</v>
      </c>
      <c r="O13">
        <v>239.99999999975654</v>
      </c>
      <c r="P13">
        <v>233.33333333307411</v>
      </c>
      <c r="Q13">
        <v>226.66666666639176</v>
      </c>
      <c r="R13">
        <v>219.99999999971533</v>
      </c>
      <c r="S13">
        <v>213.33333333303898</v>
      </c>
      <c r="T13">
        <v>206.666666666369</v>
      </c>
      <c r="U13">
        <v>199.99999999969907</v>
      </c>
      <c r="V13">
        <v>193.33333333303568</v>
      </c>
      <c r="W13">
        <v>186.66666666637229</v>
      </c>
      <c r="X13">
        <v>179.99999999971533</v>
      </c>
      <c r="Y13">
        <v>173.33333333305839</v>
      </c>
      <c r="Z13">
        <v>166.66666666640745</v>
      </c>
      <c r="AA13">
        <v>159.99999999975651</v>
      </c>
      <c r="AB13">
        <v>153.33333333311089</v>
      </c>
      <c r="AC13">
        <v>146.66666666646529</v>
      </c>
      <c r="AD13">
        <v>139.99999999982407</v>
      </c>
      <c r="AE13">
        <v>133.33333333318285</v>
      </c>
      <c r="AF13">
        <v>126.66666666654491</v>
      </c>
      <c r="AG13">
        <v>119.999999999907</v>
      </c>
      <c r="AH13">
        <v>113.3333333332711</v>
      </c>
      <c r="AI13">
        <v>106.66666666663521</v>
      </c>
      <c r="AJ13">
        <v>100</v>
      </c>
    </row>
    <row r="15" spans="2:36">
      <c r="E15" t="s">
        <v>10</v>
      </c>
      <c r="G15">
        <f>G13+(($C$10*$C$5)/($C$9*$C$8))*((H13-2*G13+F13)/($C$4^2))</f>
        <v>293.33333333330216</v>
      </c>
      <c r="H15">
        <f t="shared" ref="H15:AI15" si="1">H13+(($C$10*$C$5)/($C$9*$C$8))*((I13-2*H13+G13)/($C$4^2))</f>
        <v>286.66666666660433</v>
      </c>
      <c r="I15">
        <f t="shared" si="1"/>
        <v>279.99999999990791</v>
      </c>
      <c r="J15">
        <f t="shared" si="1"/>
        <v>273.3333333332115</v>
      </c>
      <c r="K15">
        <f t="shared" si="1"/>
        <v>266.66666666651776</v>
      </c>
      <c r="L15">
        <f t="shared" si="1"/>
        <v>259.99999999982407</v>
      </c>
      <c r="M15">
        <f t="shared" si="1"/>
        <v>253.33333333313411</v>
      </c>
      <c r="N15">
        <f t="shared" si="1"/>
        <v>246.66666666644426</v>
      </c>
      <c r="O15">
        <f t="shared" si="1"/>
        <v>239.99999999975915</v>
      </c>
      <c r="P15">
        <f t="shared" si="1"/>
        <v>233.33333333307417</v>
      </c>
      <c r="Q15">
        <f t="shared" si="1"/>
        <v>226.66666666639472</v>
      </c>
      <c r="R15">
        <f t="shared" si="1"/>
        <v>219.99999999971539</v>
      </c>
      <c r="S15">
        <f t="shared" si="1"/>
        <v>213.33333333304216</v>
      </c>
      <c r="T15">
        <f t="shared" si="1"/>
        <v>206.66666666636903</v>
      </c>
      <c r="U15">
        <f t="shared" si="1"/>
        <v>199.99999999970234</v>
      </c>
      <c r="V15">
        <f t="shared" si="1"/>
        <v>193.33333333303568</v>
      </c>
      <c r="W15">
        <f t="shared" si="1"/>
        <v>186.66666666637551</v>
      </c>
      <c r="X15">
        <f t="shared" si="1"/>
        <v>179.99999999971533</v>
      </c>
      <c r="Y15">
        <f t="shared" si="1"/>
        <v>173.33333333306138</v>
      </c>
      <c r="Z15">
        <f t="shared" si="1"/>
        <v>166.66666666640745</v>
      </c>
      <c r="AA15">
        <f t="shared" si="1"/>
        <v>159.99999999975915</v>
      </c>
      <c r="AB15">
        <f t="shared" si="1"/>
        <v>153.33333333311089</v>
      </c>
      <c r="AC15">
        <f t="shared" si="1"/>
        <v>146.66666666646748</v>
      </c>
      <c r="AD15">
        <f t="shared" si="1"/>
        <v>139.99999999982407</v>
      </c>
      <c r="AE15">
        <f t="shared" si="1"/>
        <v>133.3333333331845</v>
      </c>
      <c r="AF15">
        <f t="shared" si="1"/>
        <v>126.66666666654493</v>
      </c>
      <c r="AG15">
        <f t="shared" si="1"/>
        <v>119.999999999908</v>
      </c>
      <c r="AH15">
        <f t="shared" si="1"/>
        <v>113.3333333332711</v>
      </c>
      <c r="AI15">
        <f t="shared" si="1"/>
        <v>106.66666666663555</v>
      </c>
    </row>
    <row r="16" spans="2:36">
      <c r="E16" t="s">
        <v>11</v>
      </c>
      <c r="F16">
        <v>92000</v>
      </c>
      <c r="G16">
        <f>-$C$10*((G13-F13)/$C$4)</f>
        <v>92000.000000434826</v>
      </c>
      <c r="H16">
        <f t="shared" ref="H16:AI16" si="2">-$C$10*((H13-G13)/$C$4)</f>
        <v>92000.000000425411</v>
      </c>
      <c r="I16">
        <f t="shared" si="2"/>
        <v>92000.000000424639</v>
      </c>
      <c r="J16">
        <f t="shared" si="2"/>
        <v>92000.000000396394</v>
      </c>
      <c r="K16">
        <f t="shared" si="2"/>
        <v>92000.000000395608</v>
      </c>
      <c r="L16">
        <f t="shared" si="2"/>
        <v>92000.000000351676</v>
      </c>
      <c r="M16">
        <f t="shared" si="2"/>
        <v>92000.000000350105</v>
      </c>
      <c r="N16">
        <f t="shared" si="2"/>
        <v>92000.000000291271</v>
      </c>
      <c r="O16">
        <f t="shared" si="2"/>
        <v>92000.000000289714</v>
      </c>
      <c r="P16">
        <f t="shared" si="2"/>
        <v>92000.000000217537</v>
      </c>
      <c r="Q16">
        <f t="shared" si="2"/>
        <v>92000.000000216372</v>
      </c>
      <c r="R16">
        <f t="shared" si="2"/>
        <v>92000.000000134794</v>
      </c>
      <c r="S16">
        <f t="shared" si="2"/>
        <v>92000.000000133601</v>
      </c>
      <c r="T16">
        <f t="shared" si="2"/>
        <v>92000.000000045751</v>
      </c>
      <c r="U16">
        <f t="shared" si="2"/>
        <v>92000.000000044965</v>
      </c>
      <c r="V16">
        <f t="shared" si="2"/>
        <v>91999.999999954758</v>
      </c>
      <c r="W16">
        <f t="shared" si="2"/>
        <v>91999.999999954758</v>
      </c>
      <c r="X16">
        <f t="shared" si="2"/>
        <v>91999.999999866108</v>
      </c>
      <c r="Y16">
        <f t="shared" si="2"/>
        <v>91999.999999865729</v>
      </c>
      <c r="Z16">
        <f t="shared" si="2"/>
        <v>91999.999999782958</v>
      </c>
      <c r="AA16">
        <f t="shared" si="2"/>
        <v>91999.999999782958</v>
      </c>
      <c r="AB16">
        <f t="shared" si="2"/>
        <v>91999.999999709617</v>
      </c>
      <c r="AC16">
        <f t="shared" si="2"/>
        <v>91999.999999709224</v>
      </c>
      <c r="AD16">
        <f t="shared" si="2"/>
        <v>91999.999999648819</v>
      </c>
      <c r="AE16">
        <f t="shared" si="2"/>
        <v>91999.999999648819</v>
      </c>
      <c r="AF16">
        <f t="shared" si="2"/>
        <v>91999.999999603519</v>
      </c>
      <c r="AG16">
        <f t="shared" si="2"/>
        <v>91999.99999960314</v>
      </c>
      <c r="AH16">
        <f t="shared" si="2"/>
        <v>91999.999999575477</v>
      </c>
      <c r="AI16">
        <f t="shared" si="2"/>
        <v>91999.999999575288</v>
      </c>
    </row>
    <row r="18" spans="8:8">
      <c r="H18" s="1"/>
    </row>
  </sheetData>
  <conditionalFormatting sqref="F13:AJ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2021-09-08T16:53:49Z</dcterms:created>
  <dcterms:modified xsi:type="dcterms:W3CDTF">2021-09-09T21:00:17Z</dcterms:modified>
</cp:coreProperties>
</file>