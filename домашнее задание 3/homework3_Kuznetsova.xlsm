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240" yWindow="45" windowWidth="20115" windowHeight="7995" activeTab="1"/>
  </bookViews>
  <sheets>
    <sheet name="явная схема" sheetId="1" r:id="rId1"/>
    <sheet name="неявная схема" sheetId="2" r:id="rId2"/>
  </sheets>
  <externalReferences>
    <externalReference r:id="rId3"/>
  </externalReferences>
  <calcPr calcId="125725"/>
</workbook>
</file>

<file path=xl/calcChain.xml><?xml version="1.0" encoding="utf-8"?>
<calcChain xmlns="http://schemas.openxmlformats.org/spreadsheetml/2006/main">
  <c r="G4" i="1"/>
  <c r="C17" i="2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20"/>
  <c r="F18"/>
  <c r="C16"/>
  <c r="C18" s="1"/>
  <c r="S12"/>
  <c r="AJ15"/>
  <c r="C4"/>
  <c r="AH16" s="1"/>
  <c r="H16" i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G16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G19" i="2" l="1"/>
  <c r="H19" s="1"/>
  <c r="G20"/>
  <c r="G16"/>
  <c r="I16"/>
  <c r="K16"/>
  <c r="M16"/>
  <c r="O16"/>
  <c r="Q16"/>
  <c r="S16"/>
  <c r="U16"/>
  <c r="W16"/>
  <c r="Y16"/>
  <c r="AA16"/>
  <c r="AC16"/>
  <c r="AE16"/>
  <c r="AG16"/>
  <c r="G12"/>
  <c r="H12" s="1"/>
  <c r="I12" s="1"/>
  <c r="J12" s="1"/>
  <c r="K12" s="1"/>
  <c r="L12" s="1"/>
  <c r="M12" s="1"/>
  <c r="N12" s="1"/>
  <c r="O12" s="1"/>
  <c r="P12" s="1"/>
  <c r="Q12" s="1"/>
  <c r="R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H16"/>
  <c r="J16"/>
  <c r="L16"/>
  <c r="N16"/>
  <c r="P16"/>
  <c r="R16"/>
  <c r="T16"/>
  <c r="V16"/>
  <c r="X16"/>
  <c r="Z16"/>
  <c r="AB16"/>
  <c r="AD16"/>
  <c r="AF16"/>
  <c r="H20" l="1"/>
  <c r="I20" s="1"/>
  <c r="I19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J20" l="1"/>
  <c r="K20" s="1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AB20" s="1"/>
  <c r="AC20" s="1"/>
  <c r="AD20" s="1"/>
  <c r="AE20" s="1"/>
  <c r="AF20" s="1"/>
  <c r="AG20" s="1"/>
  <c r="AH20" s="1"/>
  <c r="AI20" s="1"/>
  <c r="AI16" s="1"/>
  <c r="AI15" l="1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</calcChain>
</file>

<file path=xl/sharedStrings.xml><?xml version="1.0" encoding="utf-8"?>
<sst xmlns="http://schemas.openxmlformats.org/spreadsheetml/2006/main" count="32" uniqueCount="19">
  <si>
    <t>L</t>
  </si>
  <si>
    <t>dx</t>
  </si>
  <si>
    <t>dl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</si>
  <si>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</si>
  <si>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</si>
  <si>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</si>
  <si>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</si>
  <si>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</si>
  <si>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</si>
  <si>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</si>
  <si>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</si>
  <si>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</si>
  <si>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</si>
  <si>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</si>
  <si>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</si>
  <si>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dt</t>
  </si>
  <si>
    <t>F</t>
  </si>
  <si>
    <t>alfa</t>
  </si>
  <si>
    <t>betta</t>
  </si>
</sst>
</file>

<file path=xl/styles.xml><?xml version="1.0" encoding="utf-8"?>
<styleSheet xmlns="http://schemas.openxmlformats.org/spreadsheetml/2006/main">
  <numFmts count="1">
    <numFmt numFmtId="169" formatCode="0.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0" xfId="0" applyNumberFormat="1"/>
    <xf numFmtId="169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6250181367778466"/>
          <c:y val="9.8941768906793709E-2"/>
          <c:w val="0.67626447196612982"/>
          <c:h val="0.82553122138802415"/>
        </c:manualLayout>
      </c:layout>
      <c:scatterChart>
        <c:scatterStyle val="smoothMarker"/>
        <c:ser>
          <c:idx val="0"/>
          <c:order val="0"/>
          <c:spPr>
            <a:ln w="7620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axId val="67171840"/>
        <c:axId val="67173760"/>
      </c:scatterChart>
      <c:valAx>
        <c:axId val="67171840"/>
        <c:scaling>
          <c:orientation val="minMax"/>
          <c:max val="0.1"/>
        </c:scaling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L,[m]</a:t>
                </a:r>
              </a:p>
            </c:rich>
          </c:tx>
          <c:layout>
            <c:manualLayout>
              <c:xMode val="edge"/>
              <c:yMode val="edge"/>
              <c:x val="0.89175452063466942"/>
              <c:y val="0.89487200146493318"/>
            </c:manualLayout>
          </c:layout>
        </c:title>
        <c:numFmt formatCode="#,##0.0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67173760"/>
        <c:crosses val="autoZero"/>
        <c:crossBetween val="midCat"/>
      </c:valAx>
      <c:valAx>
        <c:axId val="6717376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T,[C]</a:t>
                </a:r>
              </a:p>
            </c:rich>
          </c:tx>
          <c:layout>
            <c:manualLayout>
              <c:xMode val="edge"/>
              <c:yMode val="edge"/>
              <c:x val="5.8426966292134827E-2"/>
              <c:y val="6.8177989379234584E-3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67171840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6250181367778466"/>
          <c:y val="9.8941768906793751E-2"/>
          <c:w val="0.67626447196612982"/>
          <c:h val="0.82553122138802415"/>
        </c:manualLayout>
      </c:layout>
      <c:scatterChart>
        <c:scatterStyle val="smoothMarker"/>
        <c:ser>
          <c:idx val="0"/>
          <c:order val="0"/>
          <c:spPr>
            <a:ln w="7620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axId val="81769216"/>
        <c:axId val="82712832"/>
      </c:scatterChart>
      <c:valAx>
        <c:axId val="81769216"/>
        <c:scaling>
          <c:orientation val="minMax"/>
          <c:max val="0.1"/>
        </c:scaling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L,[m]</a:t>
                </a:r>
              </a:p>
            </c:rich>
          </c:tx>
          <c:layout>
            <c:manualLayout>
              <c:xMode val="edge"/>
              <c:yMode val="edge"/>
              <c:x val="0.89175452063466942"/>
              <c:y val="0.89487200146493318"/>
            </c:manualLayout>
          </c:layout>
        </c:title>
        <c:numFmt formatCode="#,##0.0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82712832"/>
        <c:crosses val="autoZero"/>
        <c:crossBetween val="midCat"/>
      </c:valAx>
      <c:valAx>
        <c:axId val="82712832"/>
        <c:scaling>
          <c:orientation val="minMax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T,[C]</a:t>
                </a:r>
              </a:p>
            </c:rich>
          </c:tx>
          <c:layout>
            <c:manualLayout>
              <c:xMode val="edge"/>
              <c:yMode val="edge"/>
              <c:x val="5.8426966292134827E-2"/>
              <c:y val="6.8177989379234584E-3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8176921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27"/>
  <c:chart>
    <c:plotArea>
      <c:layout>
        <c:manualLayout>
          <c:layoutTarget val="inner"/>
          <c:xMode val="edge"/>
          <c:yMode val="edge"/>
          <c:x val="0.15181359472923042"/>
          <c:y val="0.10780988769846382"/>
          <c:w val="0.71757416037281052"/>
          <c:h val="0.7865987866270816"/>
        </c:manualLayout>
      </c:layout>
      <c:lineChart>
        <c:grouping val="stacked"/>
        <c:ser>
          <c:idx val="0"/>
          <c:order val="0"/>
          <c:tx>
            <c:strRef>
              <c:f>'неявная схема'!$E$12</c:f>
              <c:strCache>
                <c:ptCount val="1"/>
                <c:pt idx="0">
                  <c:v>L</c:v>
                </c:pt>
              </c:strCache>
            </c:strRef>
          </c:tx>
          <c:marker>
            <c:symbol val="none"/>
          </c:marker>
          <c:cat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схема'!$F$12:$AI$12</c:f>
              <c:numCache>
                <c:formatCode>General</c:formatCode>
                <c:ptCount val="30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</c:numCache>
            </c:numRef>
          </c:val>
        </c:ser>
        <c:ser>
          <c:idx val="1"/>
          <c:order val="1"/>
          <c:tx>
            <c:strRef>
              <c:f>'неявная схема'!$E$13</c:f>
              <c:strCache>
                <c:ptCount val="1"/>
                <c:pt idx="0">
                  <c:v>T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0.0</c:formatCode>
                <c:ptCount val="31"/>
                <c:pt idx="0" formatCode="General">
                  <c:v>300</c:v>
                </c:pt>
                <c:pt idx="1">
                  <c:v>293.28948466859566</c:v>
                </c:pt>
                <c:pt idx="2">
                  <c:v>286.57944975234238</c:v>
                </c:pt>
                <c:pt idx="3">
                  <c:v>279.87037040286225</c:v>
                </c:pt>
                <c:pt idx="4">
                  <c:v>273.16271130238715</c:v>
                </c:pt>
                <c:pt idx="5">
                  <c:v>266.45692157260322</c:v>
                </c:pt>
                <c:pt idx="6">
                  <c:v>259.75342985397947</c:v>
                </c:pt>
                <c:pt idx="7">
                  <c:v>253.05263960949316</c:v>
                </c:pt>
                <c:pt idx="8">
                  <c:v>246.35492470420439</c:v>
                </c:pt>
                <c:pt idx="9">
                  <c:v>239.66062530911282</c:v>
                </c:pt>
                <c:pt idx="10">
                  <c:v>232.9700441741727</c:v>
                </c:pt>
                <c:pt idx="11">
                  <c:v>226.28344331130123</c:v>
                </c:pt>
                <c:pt idx="12">
                  <c:v>219.60104112372079</c:v>
                </c:pt>
                <c:pt idx="13">
                  <c:v>212.92301001308832</c:v>
                </c:pt>
                <c:pt idx="14">
                  <c:v>206.24947449062637</c:v>
                </c:pt>
                <c:pt idx="15">
                  <c:v>199.5805098129523</c:v>
                </c:pt>
                <c:pt idx="16">
                  <c:v>192.91614115755149</c:v>
                </c:pt>
                <c:pt idx="17">
                  <c:v>186.25634334692742</c:v>
                </c:pt>
                <c:pt idx="18">
                  <c:v>179.60104112445177</c:v>
                </c:pt>
                <c:pt idx="19">
                  <c:v>172.95010997889216</c:v>
                </c:pt>
                <c:pt idx="20">
                  <c:v>166.30337750858331</c:v>
                </c:pt>
                <c:pt idx="21">
                  <c:v>159.66062531029593</c:v>
                </c:pt>
                <c:pt idx="22">
                  <c:v>153.02159137210833</c:v>
                </c:pt>
                <c:pt idx="23">
                  <c:v>146.38597294406384</c:v>
                </c:pt>
                <c:pt idx="24">
                  <c:v>139.75342985516289</c:v>
                </c:pt>
                <c:pt idx="25">
                  <c:v>133.12358824034754</c:v>
                </c:pt>
                <c:pt idx="26">
                  <c:v>126.49604463664531</c:v>
                </c:pt>
                <c:pt idx="27">
                  <c:v>119.87037040359387</c:v>
                </c:pt>
                <c:pt idx="28">
                  <c:v>113.24611641951543</c:v>
                </c:pt>
                <c:pt idx="29">
                  <c:v>106.62281800218783</c:v>
                </c:pt>
                <c:pt idx="30" formatCode="General">
                  <c:v>100</c:v>
                </c:pt>
              </c:numCache>
            </c:numRef>
          </c:val>
        </c:ser>
        <c:marker val="1"/>
        <c:axId val="64400768"/>
        <c:axId val="64424192"/>
      </c:lineChart>
      <c:catAx>
        <c:axId val="64400768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2800"/>
                  <a:t>L,[m]</a:t>
                </a:r>
              </a:p>
            </c:rich>
          </c:tx>
          <c:layout>
            <c:manualLayout>
              <c:xMode val="edge"/>
              <c:yMode val="edge"/>
              <c:x val="0.90552665830525358"/>
              <c:y val="0.89979006066864642"/>
            </c:manualLayout>
          </c:layout>
        </c:title>
        <c:numFmt formatCode="#,##0.00" sourceLinked="0"/>
        <c:tickLblPos val="nextTo"/>
        <c:crossAx val="64424192"/>
        <c:crosses val="autoZero"/>
        <c:auto val="1"/>
        <c:lblAlgn val="ctr"/>
        <c:lblOffset val="100"/>
        <c:tickMarkSkip val="2"/>
      </c:catAx>
      <c:valAx>
        <c:axId val="64424192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2800"/>
                  <a:t>T,[C]</a:t>
                </a:r>
              </a:p>
            </c:rich>
          </c:tx>
          <c:layout>
            <c:manualLayout>
              <c:xMode val="edge"/>
              <c:yMode val="edge"/>
              <c:x val="4.0301976538646991E-2"/>
              <c:y val="4.5758306441203024E-2"/>
            </c:manualLayout>
          </c:layout>
        </c:title>
        <c:numFmt formatCode="General" sourceLinked="1"/>
        <c:tickLblPos val="nextTo"/>
        <c:crossAx val="64400768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174625</xdr:colOff>
      <xdr:row>17</xdr:row>
      <xdr:rowOff>158750</xdr:rowOff>
    </xdr:from>
    <xdr:to>
      <xdr:col>26</xdr:col>
      <xdr:colOff>365125</xdr:colOff>
      <xdr:row>46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24</xdr:row>
      <xdr:rowOff>0</xdr:rowOff>
    </xdr:from>
    <xdr:to>
      <xdr:col>10</xdr:col>
      <xdr:colOff>47625</xdr:colOff>
      <xdr:row>52</xdr:row>
      <xdr:rowOff>127000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31751</xdr:colOff>
      <xdr:row>25</xdr:row>
      <xdr:rowOff>170089</xdr:rowOff>
    </xdr:from>
    <xdr:to>
      <xdr:col>20</xdr:col>
      <xdr:colOff>646340</xdr:colOff>
      <xdr:row>48</xdr:row>
      <xdr:rowOff>158749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omework1_Kuznetsov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8"/>
  <sheetViews>
    <sheetView topLeftCell="J1" zoomScale="60" zoomScaleNormal="60" workbookViewId="0">
      <selection activeCell="AI14" sqref="AI14"/>
    </sheetView>
  </sheetViews>
  <sheetFormatPr defaultRowHeight="15"/>
  <cols>
    <col min="7" max="7" width="10.7109375" bestFit="1" customWidth="1"/>
    <col min="8" max="8" width="14.85546875" bestFit="1" customWidth="1"/>
    <col min="9" max="9" width="14.140625" bestFit="1" customWidth="1"/>
    <col min="10" max="10" width="14.85546875" bestFit="1" customWidth="1"/>
    <col min="11" max="11" width="14.140625" bestFit="1" customWidth="1"/>
    <col min="12" max="12" width="14.85546875" bestFit="1" customWidth="1"/>
    <col min="13" max="13" width="14.140625" bestFit="1" customWidth="1"/>
    <col min="14" max="14" width="14.85546875" bestFit="1" customWidth="1"/>
    <col min="15" max="15" width="14.140625" bestFit="1" customWidth="1"/>
    <col min="16" max="16" width="14.85546875" bestFit="1" customWidth="1"/>
    <col min="17" max="17" width="13" bestFit="1" customWidth="1"/>
    <col min="18" max="18" width="14.85546875" bestFit="1" customWidth="1"/>
    <col min="19" max="19" width="14.140625" bestFit="1" customWidth="1"/>
    <col min="20" max="20" width="14.85546875" bestFit="1" customWidth="1"/>
    <col min="21" max="21" width="14.140625" bestFit="1" customWidth="1"/>
    <col min="22" max="22" width="14.85546875" bestFit="1" customWidth="1"/>
    <col min="23" max="23" width="14.140625" bestFit="1" customWidth="1"/>
    <col min="24" max="24" width="14.85546875" bestFit="1" customWidth="1"/>
    <col min="25" max="25" width="14.140625" bestFit="1" customWidth="1"/>
    <col min="26" max="26" width="14.85546875" bestFit="1" customWidth="1"/>
    <col min="27" max="27" width="14.140625" bestFit="1" customWidth="1"/>
    <col min="28" max="28" width="14.85546875" bestFit="1" customWidth="1"/>
    <col min="29" max="29" width="14.140625" bestFit="1" customWidth="1"/>
    <col min="30" max="30" width="14.85546875" bestFit="1" customWidth="1"/>
    <col min="31" max="31" width="14.140625" bestFit="1" customWidth="1"/>
    <col min="32" max="32" width="14.85546875" bestFit="1" customWidth="1"/>
    <col min="33" max="33" width="14.140625" bestFit="1" customWidth="1"/>
    <col min="34" max="34" width="14.85546875" bestFit="1" customWidth="1"/>
    <col min="35" max="35" width="13" bestFit="1" customWidth="1"/>
  </cols>
  <sheetData>
    <row r="3" spans="2:36">
      <c r="B3" t="s">
        <v>0</v>
      </c>
      <c r="C3">
        <v>0.1</v>
      </c>
    </row>
    <row r="4" spans="2:36">
      <c r="B4" t="s">
        <v>1</v>
      </c>
      <c r="C4">
        <f>C3/30</f>
        <v>3.3333333333333335E-3</v>
      </c>
      <c r="G4">
        <f>C6/C5</f>
        <v>30</v>
      </c>
    </row>
    <row r="5" spans="2:36">
      <c r="B5" t="s">
        <v>2</v>
      </c>
      <c r="C5">
        <v>2</v>
      </c>
    </row>
    <row r="6" spans="2:36">
      <c r="B6" t="s">
        <v>3</v>
      </c>
      <c r="C6">
        <v>60</v>
      </c>
      <c r="D6">
        <v>61</v>
      </c>
    </row>
    <row r="8" spans="2:36">
      <c r="B8" t="s">
        <v>4</v>
      </c>
      <c r="C8">
        <v>460</v>
      </c>
    </row>
    <row r="9" spans="2:36">
      <c r="B9" t="s">
        <v>5</v>
      </c>
      <c r="C9">
        <v>7800</v>
      </c>
    </row>
    <row r="10" spans="2:36">
      <c r="B10" t="s">
        <v>6</v>
      </c>
      <c r="C10">
        <v>46</v>
      </c>
    </row>
    <row r="11" spans="2:36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>
      <c r="B12" t="s">
        <v>8</v>
      </c>
      <c r="C12">
        <v>300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>
      <c r="B13" t="s">
        <v>9</v>
      </c>
      <c r="C13">
        <v>100</v>
      </c>
      <c r="E13" t="s">
        <v>7</v>
      </c>
      <c r="F13"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>
      <c r="E15" t="s">
        <v>10</v>
      </c>
      <c r="G15">
        <f>G13+(($C$10*$C$5)/($C$9*$C$8))*((H13-2*G13+F13)/($C$4^2))</f>
        <v>692.30769230769215</v>
      </c>
      <c r="H15">
        <f t="shared" ref="H15:AI15" si="1">H13+(($C$10*$C$5)/($C$9*$C$8))*((I13-2*H13+G13)/($C$4^2))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  <row r="16" spans="2:36">
      <c r="E16" t="s">
        <v>11</v>
      </c>
      <c r="F16">
        <v>92000</v>
      </c>
      <c r="G16">
        <f>-$C$10*((G13-F13)/$C$4)</f>
        <v>4140000</v>
      </c>
      <c r="H16">
        <f t="shared" ref="H16:AI16" si="2">-$C$10*((H13-G13)/$C$4)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</row>
    <row r="18" spans="8:8">
      <c r="H18" s="1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AJ20"/>
  <sheetViews>
    <sheetView tabSelected="1" topLeftCell="B4" zoomScale="56" zoomScaleNormal="56" workbookViewId="0">
      <selection activeCell="Y26" sqref="Y26"/>
    </sheetView>
  </sheetViews>
  <sheetFormatPr defaultRowHeight="15"/>
  <cols>
    <col min="3" max="3" width="14" customWidth="1"/>
    <col min="6" max="6" width="14.140625" bestFit="1" customWidth="1"/>
    <col min="7" max="7" width="11.85546875" customWidth="1"/>
    <col min="8" max="18" width="11.85546875" bestFit="1" customWidth="1"/>
    <col min="19" max="19" width="14" customWidth="1"/>
    <col min="20" max="35" width="11.85546875" bestFit="1" customWidth="1"/>
  </cols>
  <sheetData>
    <row r="3" spans="2:36">
      <c r="B3" t="s">
        <v>0</v>
      </c>
      <c r="C3">
        <v>0.1</v>
      </c>
    </row>
    <row r="4" spans="2:36">
      <c r="B4" t="s">
        <v>1</v>
      </c>
      <c r="C4">
        <f>C3/30</f>
        <v>3.3333333333333335E-3</v>
      </c>
    </row>
    <row r="5" spans="2:36">
      <c r="B5" t="s">
        <v>15</v>
      </c>
      <c r="C5" s="3">
        <v>0.05</v>
      </c>
    </row>
    <row r="6" spans="2:36">
      <c r="B6" t="s">
        <v>3</v>
      </c>
      <c r="C6">
        <v>60</v>
      </c>
      <c r="D6">
        <v>60.05</v>
      </c>
    </row>
    <row r="8" spans="2:36">
      <c r="B8" t="s">
        <v>4</v>
      </c>
      <c r="C8">
        <v>400</v>
      </c>
    </row>
    <row r="9" spans="2:36">
      <c r="B9" t="s">
        <v>5</v>
      </c>
      <c r="C9">
        <v>8900</v>
      </c>
    </row>
    <row r="10" spans="2:36">
      <c r="B10" t="s">
        <v>6</v>
      </c>
      <c r="C10">
        <v>407</v>
      </c>
    </row>
    <row r="11" spans="2:36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>
      <c r="B12" t="s">
        <v>8</v>
      </c>
      <c r="C12">
        <v>300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>
      <c r="B13" t="s">
        <v>9</v>
      </c>
      <c r="C13">
        <v>100</v>
      </c>
      <c r="E13" t="s">
        <v>7</v>
      </c>
      <c r="F13">
        <v>300</v>
      </c>
      <c r="G13" s="4">
        <v>293.28948466859566</v>
      </c>
      <c r="H13" s="4">
        <v>286.57944975234238</v>
      </c>
      <c r="I13" s="4">
        <v>279.87037040286225</v>
      </c>
      <c r="J13" s="4">
        <v>273.16271130238715</v>
      </c>
      <c r="K13" s="4">
        <v>266.45692157260322</v>
      </c>
      <c r="L13" s="4">
        <v>259.75342985397947</v>
      </c>
      <c r="M13" s="4">
        <v>253.05263960949316</v>
      </c>
      <c r="N13" s="4">
        <v>246.35492470420439</v>
      </c>
      <c r="O13" s="4">
        <v>239.66062530911282</v>
      </c>
      <c r="P13" s="4">
        <v>232.9700441741727</v>
      </c>
      <c r="Q13" s="4">
        <v>226.28344331130123</v>
      </c>
      <c r="R13" s="4">
        <v>219.60104112372079</v>
      </c>
      <c r="S13" s="4">
        <v>212.92301001308832</v>
      </c>
      <c r="T13" s="4">
        <v>206.24947449062637</v>
      </c>
      <c r="U13" s="4">
        <v>199.5805098129523</v>
      </c>
      <c r="V13" s="4">
        <v>192.91614115755149</v>
      </c>
      <c r="W13" s="4">
        <v>186.25634334692742</v>
      </c>
      <c r="X13" s="4">
        <v>179.60104112445177</v>
      </c>
      <c r="Y13" s="4">
        <v>172.95010997889216</v>
      </c>
      <c r="Z13" s="4">
        <v>166.30337750858331</v>
      </c>
      <c r="AA13" s="4">
        <v>159.66062531029593</v>
      </c>
      <c r="AB13" s="4">
        <v>153.02159137210833</v>
      </c>
      <c r="AC13" s="4">
        <v>146.38597294406384</v>
      </c>
      <c r="AD13" s="4">
        <v>139.75342985516289</v>
      </c>
      <c r="AE13" s="4">
        <v>133.12358824034754</v>
      </c>
      <c r="AF13" s="4">
        <v>126.49604463664531</v>
      </c>
      <c r="AG13" s="4">
        <v>119.87037040359387</v>
      </c>
      <c r="AH13" s="4">
        <v>113.24611641951543</v>
      </c>
      <c r="AI13" s="4">
        <v>106.62281800218783</v>
      </c>
      <c r="AJ13">
        <v>100</v>
      </c>
    </row>
    <row r="15" spans="2:36">
      <c r="E15" t="s">
        <v>10</v>
      </c>
      <c r="G15">
        <f>G19*H15+G20</f>
        <v>293.289730440678</v>
      </c>
      <c r="H15">
        <f t="shared" ref="H15:AI15" si="1">H19*I15+H20</f>
        <v>286.57993860377672</v>
      </c>
      <c r="I15">
        <f t="shared" si="1"/>
        <v>279.87109697768966</v>
      </c>
      <c r="J15">
        <f t="shared" si="1"/>
        <v>273.16366764010155</v>
      </c>
      <c r="K15">
        <f t="shared" si="1"/>
        <v>266.45809719536817</v>
      </c>
      <c r="L15">
        <f t="shared" si="1"/>
        <v>259.75481188142555</v>
      </c>
      <c r="M15">
        <f t="shared" si="1"/>
        <v>253.05421289983798</v>
      </c>
      <c r="N15">
        <f t="shared" si="1"/>
        <v>246.35667202014935</v>
      </c>
      <c r="O15">
        <f t="shared" si="1"/>
        <v>239.66252750669827</v>
      </c>
      <c r="P15">
        <f t="shared" si="1"/>
        <v>232.97208041252344</v>
      </c>
      <c r="Q15">
        <f t="shared" si="1"/>
        <v>226.28559128096333</v>
      </c>
      <c r="R15">
        <f t="shared" si="1"/>
        <v>219.60327729108886</v>
      </c>
      <c r="S15">
        <f t="shared" si="1"/>
        <v>212.92530987824449</v>
      </c>
      <c r="T15">
        <f t="shared" si="1"/>
        <v>206.25181285576647</v>
      </c>
      <c r="U15">
        <f t="shared" si="1"/>
        <v>199.58286105845849</v>
      </c>
      <c r="V15">
        <f t="shared" si="1"/>
        <v>192.91847952268594</v>
      </c>
      <c r="W15">
        <f t="shared" si="1"/>
        <v>186.25864321207246</v>
      </c>
      <c r="X15">
        <f t="shared" si="1"/>
        <v>179.60327729180381</v>
      </c>
      <c r="Y15">
        <f t="shared" si="1"/>
        <v>172.952257948534</v>
      </c>
      <c r="Z15">
        <f t="shared" si="1"/>
        <v>166.30541374691038</v>
      </c>
      <c r="AA15">
        <f t="shared" si="1"/>
        <v>159.6625275078554</v>
      </c>
      <c r="AB15">
        <f t="shared" si="1"/>
        <v>153.02333868802609</v>
      </c>
      <c r="AC15">
        <f t="shared" si="1"/>
        <v>146.38754623438152</v>
      </c>
      <c r="AD15">
        <f t="shared" si="1"/>
        <v>139.75481188258294</v>
      </c>
      <c r="AE15">
        <f t="shared" si="1"/>
        <v>133.12476386308879</v>
      </c>
      <c r="AF15">
        <f t="shared" si="1"/>
        <v>126.49700097433939</v>
      </c>
      <c r="AG15">
        <f t="shared" si="1"/>
        <v>119.87109697840519</v>
      </c>
      <c r="AH15">
        <f t="shared" si="1"/>
        <v>113.2466052709386</v>
      </c>
      <c r="AI15">
        <f t="shared" si="1"/>
        <v>106.62306377426452</v>
      </c>
      <c r="AJ15">
        <f>AJ13</f>
        <v>100</v>
      </c>
    </row>
    <row r="16" spans="2:36">
      <c r="B16" t="s">
        <v>12</v>
      </c>
      <c r="C16" s="2">
        <f>C10/(C4^2)</f>
        <v>36629999.999999993</v>
      </c>
      <c r="E16" t="s">
        <v>11</v>
      </c>
      <c r="F16">
        <v>92000</v>
      </c>
      <c r="G16">
        <f>-$C$10*((G13-F13)/$C$4)</f>
        <v>819353.9219644696</v>
      </c>
      <c r="H16">
        <f t="shared" ref="H16:AH16" si="2">-$C$10*((H13-G13)/$C$4)</f>
        <v>819295.26327452518</v>
      </c>
      <c r="I16">
        <f t="shared" si="2"/>
        <v>819178.58857152436</v>
      </c>
      <c r="J16">
        <f t="shared" si="2"/>
        <v>819005.17616800941</v>
      </c>
      <c r="K16">
        <f t="shared" si="2"/>
        <v>818776.92600661784</v>
      </c>
      <c r="L16">
        <f t="shared" si="2"/>
        <v>818496.33884396008</v>
      </c>
      <c r="M16">
        <f t="shared" si="2"/>
        <v>818166.48885177879</v>
      </c>
      <c r="N16">
        <f t="shared" si="2"/>
        <v>817790.98993575783</v>
      </c>
      <c r="O16">
        <f t="shared" si="2"/>
        <v>817373.9561406814</v>
      </c>
      <c r="P16">
        <f t="shared" si="2"/>
        <v>816919.95657618833</v>
      </c>
      <c r="Q16">
        <f t="shared" si="2"/>
        <v>816433.96535660676</v>
      </c>
      <c r="R16">
        <f t="shared" si="2"/>
        <v>815921.30710357125</v>
      </c>
      <c r="S16">
        <f t="shared" si="2"/>
        <v>815387.59860822512</v>
      </c>
      <c r="T16">
        <f t="shared" si="2"/>
        <v>814838.68729260366</v>
      </c>
      <c r="U16">
        <f t="shared" si="2"/>
        <v>814280.58714400372</v>
      </c>
      <c r="V16">
        <f t="shared" si="2"/>
        <v>813719.41282443854</v>
      </c>
      <c r="W16">
        <f t="shared" si="2"/>
        <v>813161.3126771989</v>
      </c>
      <c r="X16">
        <f t="shared" si="2"/>
        <v>812612.40136427735</v>
      </c>
      <c r="Y16">
        <f t="shared" si="2"/>
        <v>812078.69287282845</v>
      </c>
      <c r="Z16">
        <f t="shared" si="2"/>
        <v>811566.03462471021</v>
      </c>
      <c r="AA16">
        <f t="shared" si="2"/>
        <v>811080.04341088934</v>
      </c>
      <c r="AB16">
        <f t="shared" si="2"/>
        <v>810626.04385270528</v>
      </c>
      <c r="AC16">
        <f t="shared" si="2"/>
        <v>810209.01006423275</v>
      </c>
      <c r="AD16">
        <f t="shared" si="2"/>
        <v>809833.51115480531</v>
      </c>
      <c r="AE16">
        <f t="shared" si="2"/>
        <v>809503.66116895387</v>
      </c>
      <c r="AF16">
        <f t="shared" si="2"/>
        <v>809223.07401204295</v>
      </c>
      <c r="AG16">
        <f t="shared" si="2"/>
        <v>808994.82385558088</v>
      </c>
      <c r="AH16">
        <f t="shared" si="2"/>
        <v>808821.41145597701</v>
      </c>
      <c r="AI16">
        <f>AI20*AJ16+AI21</f>
        <v>0</v>
      </c>
    </row>
    <row r="17" spans="2:35">
      <c r="B17" t="s">
        <v>13</v>
      </c>
      <c r="C17" s="2">
        <f>((2*C10)/(C4^2))+(C9*C8)/C5</f>
        <v>144460000</v>
      </c>
    </row>
    <row r="18" spans="2:35">
      <c r="B18" t="s">
        <v>14</v>
      </c>
      <c r="C18" s="2">
        <f>C16</f>
        <v>36629999.999999993</v>
      </c>
      <c r="E18" t="s">
        <v>16</v>
      </c>
      <c r="F18">
        <f>-(($C$9*$C$8)/$C$5)*F13</f>
        <v>-21360000000</v>
      </c>
      <c r="G18">
        <f t="shared" ref="G18:AI18" si="3">-(($C$9*$C$8)/$C$5)*G13</f>
        <v>-20882211308.404011</v>
      </c>
      <c r="H18">
        <f t="shared" si="3"/>
        <v>-20404456822.366779</v>
      </c>
      <c r="I18">
        <f t="shared" si="3"/>
        <v>-19926770372.683792</v>
      </c>
      <c r="J18">
        <f t="shared" si="3"/>
        <v>-19449185044.729965</v>
      </c>
      <c r="K18">
        <f t="shared" si="3"/>
        <v>-18971732815.969349</v>
      </c>
      <c r="L18">
        <f t="shared" si="3"/>
        <v>-18494444205.603336</v>
      </c>
      <c r="M18">
        <f t="shared" si="3"/>
        <v>-18017347940.195911</v>
      </c>
      <c r="N18">
        <f t="shared" si="3"/>
        <v>-17540470638.939354</v>
      </c>
      <c r="O18">
        <f t="shared" si="3"/>
        <v>-17063836522.008833</v>
      </c>
      <c r="P18">
        <f t="shared" si="3"/>
        <v>-16587467145.201096</v>
      </c>
      <c r="Q18">
        <f t="shared" si="3"/>
        <v>-16111381163.764647</v>
      </c>
      <c r="R18">
        <f t="shared" si="3"/>
        <v>-15635594128.008921</v>
      </c>
      <c r="S18">
        <f t="shared" si="3"/>
        <v>-15160118312.931889</v>
      </c>
      <c r="T18">
        <f t="shared" si="3"/>
        <v>-14684962583.732597</v>
      </c>
      <c r="U18">
        <f t="shared" si="3"/>
        <v>-14210132298.682203</v>
      </c>
      <c r="V18">
        <f t="shared" si="3"/>
        <v>-13735629250.417665</v>
      </c>
      <c r="W18">
        <f t="shared" si="3"/>
        <v>-13261451646.301233</v>
      </c>
      <c r="X18">
        <f t="shared" si="3"/>
        <v>-12787594128.060966</v>
      </c>
      <c r="Y18">
        <f t="shared" si="3"/>
        <v>-12314047830.497122</v>
      </c>
      <c r="Z18">
        <f t="shared" si="3"/>
        <v>-11840800478.611132</v>
      </c>
      <c r="AA18">
        <f t="shared" si="3"/>
        <v>-11367836522.093069</v>
      </c>
      <c r="AB18">
        <f t="shared" si="3"/>
        <v>-10895137305.694113</v>
      </c>
      <c r="AC18">
        <f t="shared" si="3"/>
        <v>-10422681273.617346</v>
      </c>
      <c r="AD18">
        <f t="shared" si="3"/>
        <v>-9950444205.6875973</v>
      </c>
      <c r="AE18">
        <f t="shared" si="3"/>
        <v>-9478399482.7127457</v>
      </c>
      <c r="AF18">
        <f t="shared" si="3"/>
        <v>-9006518378.1291466</v>
      </c>
      <c r="AG18">
        <f t="shared" si="3"/>
        <v>-8534770372.7358837</v>
      </c>
      <c r="AH18">
        <f t="shared" si="3"/>
        <v>-8063123489.069499</v>
      </c>
      <c r="AI18">
        <f t="shared" si="3"/>
        <v>-7591544641.7557735</v>
      </c>
    </row>
    <row r="19" spans="2:35">
      <c r="E19" t="s">
        <v>17</v>
      </c>
      <c r="F19">
        <v>0</v>
      </c>
      <c r="G19">
        <f>$C$16/($C$17-$C$18*F19)</f>
        <v>0.25356500069223309</v>
      </c>
      <c r="H19">
        <f t="shared" ref="H19:AI19" si="4">$C$16/($C$17-$C$18*G19)</f>
        <v>0.27098824681377148</v>
      </c>
      <c r="I19">
        <f t="shared" si="4"/>
        <v>0.27227378611182401</v>
      </c>
      <c r="J19">
        <f t="shared" si="4"/>
        <v>0.27236912038415362</v>
      </c>
      <c r="K19">
        <f t="shared" si="4"/>
        <v>0.27237619293485738</v>
      </c>
      <c r="L19">
        <f t="shared" si="4"/>
        <v>0.27237671763985044</v>
      </c>
      <c r="M19">
        <f t="shared" si="4"/>
        <v>0.27237675656723481</v>
      </c>
      <c r="N19">
        <f t="shared" si="4"/>
        <v>0.27237675945522238</v>
      </c>
      <c r="O19">
        <f t="shared" si="4"/>
        <v>0.27237675966947955</v>
      </c>
      <c r="P19">
        <f t="shared" si="4"/>
        <v>0.27237675968537511</v>
      </c>
      <c r="Q19">
        <f t="shared" si="4"/>
        <v>0.27237675968655439</v>
      </c>
      <c r="R19">
        <f t="shared" si="4"/>
        <v>0.27237675968664188</v>
      </c>
      <c r="S19">
        <f t="shared" si="4"/>
        <v>0.27237675968664837</v>
      </c>
      <c r="T19">
        <f t="shared" si="4"/>
        <v>0.27237675968664887</v>
      </c>
      <c r="U19">
        <f t="shared" si="4"/>
        <v>0.27237675968664887</v>
      </c>
      <c r="V19">
        <f t="shared" si="4"/>
        <v>0.27237675968664887</v>
      </c>
      <c r="W19">
        <f t="shared" si="4"/>
        <v>0.27237675968664887</v>
      </c>
      <c r="X19">
        <f t="shared" si="4"/>
        <v>0.27237675968664887</v>
      </c>
      <c r="Y19">
        <f t="shared" si="4"/>
        <v>0.27237675968664887</v>
      </c>
      <c r="Z19">
        <f t="shared" si="4"/>
        <v>0.27237675968664887</v>
      </c>
      <c r="AA19">
        <f t="shared" si="4"/>
        <v>0.27237675968664887</v>
      </c>
      <c r="AB19">
        <f t="shared" si="4"/>
        <v>0.27237675968664887</v>
      </c>
      <c r="AC19">
        <f t="shared" si="4"/>
        <v>0.27237675968664887</v>
      </c>
      <c r="AD19">
        <f t="shared" si="4"/>
        <v>0.27237675968664887</v>
      </c>
      <c r="AE19">
        <f t="shared" si="4"/>
        <v>0.27237675968664887</v>
      </c>
      <c r="AF19">
        <f t="shared" si="4"/>
        <v>0.27237675968664887</v>
      </c>
      <c r="AG19">
        <f t="shared" si="4"/>
        <v>0.27237675968664887</v>
      </c>
      <c r="AH19">
        <f t="shared" si="4"/>
        <v>0.27237675968664887</v>
      </c>
      <c r="AI19">
        <f t="shared" si="4"/>
        <v>0.27237675968664887</v>
      </c>
    </row>
    <row r="20" spans="2:35">
      <c r="E20" t="s">
        <v>18</v>
      </c>
      <c r="F20">
        <f>F13</f>
        <v>300</v>
      </c>
      <c r="G20">
        <f>(F20*$C$18-G18)/($C$17-$C$18*F19)</f>
        <v>220.62308811023127</v>
      </c>
      <c r="H20">
        <f t="shared" ref="H20:AI20" si="5">(G20*$C$18-H18)/($C$17-$C$18*G19)</f>
        <v>210.73816069994558</v>
      </c>
      <c r="I20">
        <f t="shared" si="5"/>
        <v>205.49579096112726</v>
      </c>
      <c r="J20">
        <f t="shared" si="5"/>
        <v>200.58871008776381</v>
      </c>
      <c r="K20">
        <f t="shared" si="5"/>
        <v>195.70707043859539</v>
      </c>
      <c r="L20">
        <f t="shared" si="5"/>
        <v>190.82873598683176</v>
      </c>
      <c r="M20">
        <f t="shared" si="5"/>
        <v>185.95238161629166</v>
      </c>
      <c r="N20">
        <f t="shared" si="5"/>
        <v>181.07816941502676</v>
      </c>
      <c r="O20">
        <f t="shared" si="5"/>
        <v>176.20634715047771</v>
      </c>
      <c r="P20">
        <f t="shared" si="5"/>
        <v>171.33714429592547</v>
      </c>
      <c r="Q20">
        <f t="shared" si="5"/>
        <v>166.47076219586864</v>
      </c>
      <c r="R20">
        <f t="shared" si="5"/>
        <v>161.60737133117851</v>
      </c>
      <c r="S20">
        <f t="shared" si="5"/>
        <v>156.74710941309382</v>
      </c>
      <c r="T20">
        <f t="shared" si="5"/>
        <v>151.8900798716729</v>
      </c>
      <c r="U20">
        <f t="shared" si="5"/>
        <v>147.03635072239416</v>
      </c>
      <c r="V20">
        <f t="shared" si="5"/>
        <v>142.18595382095</v>
      </c>
      <c r="W20">
        <f t="shared" si="5"/>
        <v>137.33888451422825</v>
      </c>
      <c r="X20">
        <f t="shared" si="5"/>
        <v>132.49510169129266</v>
      </c>
      <c r="Y20">
        <f t="shared" si="5"/>
        <v>127.65452823380306</v>
      </c>
      <c r="Z20">
        <f t="shared" si="5"/>
        <v>122.81705186094028</v>
      </c>
      <c r="AA20">
        <f t="shared" si="5"/>
        <v>117.98252635957823</v>
      </c>
      <c r="AB20">
        <f t="shared" si="5"/>
        <v>113.15077318622575</v>
      </c>
      <c r="AC20">
        <f t="shared" si="5"/>
        <v>108.3215834231864</v>
      </c>
      <c r="AD20">
        <f t="shared" si="5"/>
        <v>103.49472006750453</v>
      </c>
      <c r="AE20">
        <f t="shared" si="5"/>
        <v>98.669920627619362</v>
      </c>
      <c r="AF20">
        <f t="shared" si="5"/>
        <v>93.84689999927734</v>
      </c>
      <c r="AG20">
        <f t="shared" si="5"/>
        <v>89.025353589193969</v>
      </c>
      <c r="AH20">
        <f t="shared" si="5"/>
        <v>84.20496065224151</v>
      </c>
      <c r="AI20">
        <f t="shared" si="5"/>
        <v>79.385387805599635</v>
      </c>
    </row>
  </sheetData>
  <conditionalFormatting sqref="F13:AJ13">
    <cfRule type="colorScale" priority="2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2021-09-08T16:53:49Z</dcterms:created>
  <dcterms:modified xsi:type="dcterms:W3CDTF">2021-11-02T14:10:56Z</dcterms:modified>
</cp:coreProperties>
</file>