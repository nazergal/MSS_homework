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ЭтаКнига" defaultThemeVersion="124226"/>
  <bookViews>
    <workbookView xWindow="240" yWindow="45" windowWidth="20115" windowHeight="7995" activeTab="1"/>
  </bookViews>
  <sheets>
    <sheet name="явная схема" sheetId="1" r:id="rId1"/>
    <sheet name="неявная схема" sheetId="2" r:id="rId2"/>
  </sheets>
  <calcPr calcId="125725"/>
</workbook>
</file>

<file path=xl/calcChain.xml><?xml version="1.0" encoding="utf-8"?>
<calcChain xmlns="http://schemas.openxmlformats.org/spreadsheetml/2006/main">
  <c r="G4" i="1"/>
  <c r="C17" i="2"/>
  <c r="G19" s="1"/>
  <c r="H19" s="1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F20"/>
  <c r="F18"/>
  <c r="C16"/>
  <c r="S12"/>
  <c r="AJ15"/>
  <c r="C18"/>
  <c r="C4"/>
  <c r="AH16" s="1"/>
  <c r="H16" i="1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G16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G15"/>
  <c r="C4"/>
  <c r="G12" s="1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G20" i="2" l="1"/>
  <c r="H20" s="1"/>
  <c r="G16"/>
  <c r="I16"/>
  <c r="K16"/>
  <c r="M16"/>
  <c r="O16"/>
  <c r="Q16"/>
  <c r="S16"/>
  <c r="U16"/>
  <c r="W16"/>
  <c r="Y16"/>
  <c r="AA16"/>
  <c r="AC16"/>
  <c r="AE16"/>
  <c r="AG16"/>
  <c r="G12"/>
  <c r="H12" s="1"/>
  <c r="I12" s="1"/>
  <c r="J12" s="1"/>
  <c r="K12" s="1"/>
  <c r="L12" s="1"/>
  <c r="M12" s="1"/>
  <c r="N12" s="1"/>
  <c r="O12" s="1"/>
  <c r="P12" s="1"/>
  <c r="Q12" s="1"/>
  <c r="R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H16"/>
  <c r="J16"/>
  <c r="L16"/>
  <c r="N16"/>
  <c r="P16"/>
  <c r="R16"/>
  <c r="T16"/>
  <c r="V16"/>
  <c r="X16"/>
  <c r="Z16"/>
  <c r="AB16"/>
  <c r="AD16"/>
  <c r="AF16"/>
  <c r="I19" l="1"/>
  <c r="J19" s="1"/>
  <c r="K19" s="1"/>
  <c r="L19" s="1"/>
  <c r="M19" s="1"/>
  <c r="N19" s="1"/>
  <c r="O19" s="1"/>
  <c r="P19" s="1"/>
  <c r="Q19" s="1"/>
  <c r="R19" s="1"/>
  <c r="S19" s="1"/>
  <c r="T19" s="1"/>
  <c r="U19" s="1"/>
  <c r="V19" s="1"/>
  <c r="W19" s="1"/>
  <c r="X19" s="1"/>
  <c r="Y19" s="1"/>
  <c r="Z19" s="1"/>
  <c r="AA19" s="1"/>
  <c r="AB19" s="1"/>
  <c r="AC19" s="1"/>
  <c r="AD19" s="1"/>
  <c r="AE19" s="1"/>
  <c r="AF19" s="1"/>
  <c r="AG19" s="1"/>
  <c r="AH19" s="1"/>
  <c r="AI19" s="1"/>
  <c r="I20"/>
  <c r="J20" l="1"/>
  <c r="K20" s="1"/>
  <c r="L20" s="1"/>
  <c r="M20" s="1"/>
  <c r="N20" s="1"/>
  <c r="O20" s="1"/>
  <c r="P20" s="1"/>
  <c r="Q20" s="1"/>
  <c r="R20" s="1"/>
  <c r="S20" s="1"/>
  <c r="T20" s="1"/>
  <c r="U20" s="1"/>
  <c r="V20" s="1"/>
  <c r="W20" s="1"/>
  <c r="X20" s="1"/>
  <c r="Y20" s="1"/>
  <c r="Z20" s="1"/>
  <c r="AA20" s="1"/>
  <c r="AB20" s="1"/>
  <c r="AC20" s="1"/>
  <c r="AD20" s="1"/>
  <c r="AE20" s="1"/>
  <c r="AF20" s="1"/>
  <c r="AG20" s="1"/>
  <c r="AH20" s="1"/>
  <c r="AI20" s="1"/>
  <c r="AI16" s="1"/>
  <c r="AI15" l="1"/>
  <c r="AH15" s="1"/>
  <c r="AG15" s="1"/>
  <c r="AF15" s="1"/>
  <c r="AE15" s="1"/>
  <c r="AD15" s="1"/>
  <c r="AC15" s="1"/>
  <c r="AB15" s="1"/>
  <c r="AA15" s="1"/>
  <c r="Z15" s="1"/>
  <c r="Y15" s="1"/>
  <c r="X15" s="1"/>
  <c r="W15" s="1"/>
  <c r="V15" s="1"/>
  <c r="U15" s="1"/>
  <c r="T15" s="1"/>
  <c r="S15" s="1"/>
  <c r="R15" s="1"/>
  <c r="Q15" s="1"/>
  <c r="P15" s="1"/>
  <c r="O15" s="1"/>
  <c r="N15" s="1"/>
  <c r="M15" s="1"/>
  <c r="L15" s="1"/>
  <c r="K15" s="1"/>
  <c r="J15" s="1"/>
  <c r="I15" s="1"/>
  <c r="H15" s="1"/>
  <c r="G15" s="1"/>
</calcChain>
</file>

<file path=xl/sharedStrings.xml><?xml version="1.0" encoding="utf-8"?>
<sst xmlns="http://schemas.openxmlformats.org/spreadsheetml/2006/main" count="32" uniqueCount="19">
  <si>
    <t>L</t>
  </si>
  <si>
    <t>dx</t>
  </si>
  <si>
    <t>dl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</si>
  <si>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</si>
  <si>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</si>
  <si>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</si>
  <si>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</si>
  <si>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</si>
  <si>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</si>
  <si>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</si>
  <si>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</si>
  <si>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</si>
  <si>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A</t>
  </si>
  <si>
    <t>B</t>
  </si>
  <si>
    <t>C</t>
  </si>
  <si>
    <t>dt</t>
  </si>
  <si>
    <t>F</t>
  </si>
  <si>
    <t>alfa</t>
  </si>
  <si>
    <t>betta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</si>
</sst>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" fontId="0" fillId="0" borderId="0" xfId="0" applyNumberFormat="1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6250181367778466"/>
          <c:y val="9.8941768906793681E-2"/>
          <c:w val="0.67626447196612982"/>
          <c:h val="0.82553122138802415"/>
        </c:manualLayout>
      </c:layout>
      <c:scatterChart>
        <c:scatterStyle val="smoothMarker"/>
        <c:ser>
          <c:idx val="0"/>
          <c:order val="0"/>
          <c:spPr>
            <a:ln w="7620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</c:ser>
        <c:axId val="74143232"/>
        <c:axId val="74158080"/>
      </c:scatterChart>
      <c:valAx>
        <c:axId val="74143232"/>
        <c:scaling>
          <c:orientation val="minMax"/>
          <c:max val="0.1"/>
        </c:scaling>
        <c:axPos val="b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L,[m]</a:t>
                </a:r>
              </a:p>
            </c:rich>
          </c:tx>
          <c:layout>
            <c:manualLayout>
              <c:xMode val="edge"/>
              <c:yMode val="edge"/>
              <c:x val="0.89175452063466942"/>
              <c:y val="0.89487200146493318"/>
            </c:manualLayout>
          </c:layout>
        </c:title>
        <c:numFmt formatCode="#,##0.00" sourceLinked="0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74158080"/>
        <c:crosses val="autoZero"/>
        <c:crossBetween val="midCat"/>
      </c:valAx>
      <c:valAx>
        <c:axId val="74158080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 sz="2000"/>
                </a:pPr>
                <a:r>
                  <a:rPr lang="en-US" sz="2000"/>
                  <a:t>T,[C]</a:t>
                </a:r>
              </a:p>
            </c:rich>
          </c:tx>
          <c:layout>
            <c:manualLayout>
              <c:xMode val="edge"/>
              <c:yMode val="edge"/>
              <c:x val="5.8426966292134827E-2"/>
              <c:y val="6.8177989379234584E-3"/>
            </c:manualLayout>
          </c:layout>
        </c:title>
        <c:numFmt formatCode="#,##0.0" sourceLinked="0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74143232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6250181367778466"/>
          <c:y val="9.8941768906793737E-2"/>
          <c:w val="0.67626447196612982"/>
          <c:h val="0.82553122138802415"/>
        </c:manualLayout>
      </c:layout>
      <c:scatterChart>
        <c:scatterStyle val="smoothMarker"/>
        <c:ser>
          <c:idx val="0"/>
          <c:order val="0"/>
          <c:spPr>
            <a:ln w="7620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</c:ser>
        <c:axId val="73698688"/>
        <c:axId val="73717248"/>
      </c:scatterChart>
      <c:valAx>
        <c:axId val="73698688"/>
        <c:scaling>
          <c:orientation val="minMax"/>
          <c:max val="0.1"/>
        </c:scaling>
        <c:axPos val="b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L,[m]</a:t>
                </a:r>
              </a:p>
            </c:rich>
          </c:tx>
          <c:layout>
            <c:manualLayout>
              <c:xMode val="edge"/>
              <c:yMode val="edge"/>
              <c:x val="0.89175452063466942"/>
              <c:y val="0.89487200146493318"/>
            </c:manualLayout>
          </c:layout>
        </c:title>
        <c:numFmt formatCode="#,##0.00" sourceLinked="0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73717248"/>
        <c:crosses val="autoZero"/>
        <c:crossBetween val="midCat"/>
      </c:valAx>
      <c:valAx>
        <c:axId val="73717248"/>
        <c:scaling>
          <c:orientation val="minMax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 sz="2000"/>
                </a:pPr>
                <a:r>
                  <a:rPr lang="en-US" sz="2000"/>
                  <a:t>T,[C]</a:t>
                </a:r>
              </a:p>
            </c:rich>
          </c:tx>
          <c:layout>
            <c:manualLayout>
              <c:xMode val="edge"/>
              <c:yMode val="edge"/>
              <c:x val="5.8426966292134827E-2"/>
              <c:y val="6.8177989379234584E-3"/>
            </c:manualLayout>
          </c:layout>
        </c:title>
        <c:numFmt formatCode="#,##0.0" sourceLinked="0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73698688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27"/>
  <c:chart>
    <c:plotArea>
      <c:layout>
        <c:manualLayout>
          <c:layoutTarget val="inner"/>
          <c:xMode val="edge"/>
          <c:yMode val="edge"/>
          <c:x val="0.15181359472923031"/>
          <c:y val="0.10780988769846389"/>
          <c:w val="0.71757416037281052"/>
          <c:h val="0.7865987866270816"/>
        </c:manualLayout>
      </c:layout>
      <c:lineChart>
        <c:grouping val="stacked"/>
        <c:ser>
          <c:idx val="0"/>
          <c:order val="0"/>
          <c:tx>
            <c:strRef>
              <c:f>'неявная схема'!$E$12</c:f>
              <c:strCache>
                <c:ptCount val="1"/>
                <c:pt idx="0">
                  <c:v>L</c:v>
                </c:pt>
              </c:strCache>
            </c:strRef>
          </c:tx>
          <c:marker>
            <c:symbol val="none"/>
          </c:marker>
          <c:cat>
            <c:numRef>
              <c:f>'неявная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'неявная схема'!$F$12:$AI$12</c:f>
              <c:numCache>
                <c:formatCode>General</c:formatCode>
                <c:ptCount val="30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</c:numCache>
            </c:numRef>
          </c:val>
        </c:ser>
        <c:ser>
          <c:idx val="1"/>
          <c:order val="1"/>
          <c:tx>
            <c:strRef>
              <c:f>'неявная схема'!$E$13</c:f>
              <c:strCache>
                <c:ptCount val="1"/>
                <c:pt idx="0">
                  <c:v>T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numRef>
              <c:f>'неявная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287.1925580024872</c:v>
                </c:pt>
                <c:pt idx="2">
                  <c:v>274.45389945090841</c:v>
                </c:pt>
                <c:pt idx="3">
                  <c:v>261.85198771975558</c:v>
                </c:pt>
                <c:pt idx="4">
                  <c:v>249.45315800297954</c:v>
                </c:pt>
                <c:pt idx="5">
                  <c:v>237.32133286127006</c:v>
                </c:pt>
                <c:pt idx="6">
                  <c:v>225.51727259277288</c:v>
                </c:pt>
                <c:pt idx="7">
                  <c:v>214.09787082745635</c:v>
                </c:pt>
                <c:pt idx="8">
                  <c:v>203.11550476569897</c:v>
                </c:pt>
                <c:pt idx="9">
                  <c:v>192.61744832326787</c:v>
                </c:pt>
                <c:pt idx="10">
                  <c:v>182.64535514710548</c:v>
                </c:pt>
                <c:pt idx="11">
                  <c:v>173.23481707220088</c:v>
                </c:pt>
                <c:pt idx="12">
                  <c:v>164.41500214384996</c:v>
                </c:pt>
                <c:pt idx="13">
                  <c:v>156.20837487605183</c:v>
                </c:pt>
                <c:pt idx="14">
                  <c:v>148.63049999768077</c:v>
                </c:pt>
                <c:pt idx="15">
                  <c:v>141.68992959160192</c:v>
                </c:pt>
                <c:pt idx="16">
                  <c:v>135.38817229098748</c:v>
                </c:pt>
                <c:pt idx="17">
                  <c:v>129.7197420882992</c:v>
                </c:pt>
                <c:pt idx="18">
                  <c:v>124.67228335523129</c:v>
                </c:pt>
                <c:pt idx="19">
                  <c:v>120.22676787840741</c:v>
                </c:pt>
                <c:pt idx="20">
                  <c:v>116.35775909043107</c:v>
                </c:pt>
                <c:pt idx="21">
                  <c:v>113.03373821655737</c:v>
                </c:pt>
                <c:pt idx="22">
                  <c:v>110.2174867549019</c:v>
                </c:pt>
                <c:pt idx="23">
                  <c:v>107.86651954830063</c:v>
                </c:pt>
                <c:pt idx="24">
                  <c:v>105.93356266975184</c:v>
                </c:pt>
                <c:pt idx="25">
                  <c:v>104.36707040857154</c:v>
                </c:pt>
                <c:pt idx="26">
                  <c:v>103.11177578665178</c:v>
                </c:pt>
                <c:pt idx="27">
                  <c:v>102.10926922835259</c:v>
                </c:pt>
                <c:pt idx="28">
                  <c:v>101.29860022873005</c:v>
                </c:pt>
                <c:pt idx="29">
                  <c:v>100.61689708957026</c:v>
                </c:pt>
                <c:pt idx="30">
                  <c:v>100</c:v>
                </c:pt>
              </c:numCache>
            </c:numRef>
          </c:val>
        </c:ser>
        <c:marker val="1"/>
        <c:axId val="80638336"/>
        <c:axId val="80640256"/>
      </c:lineChart>
      <c:catAx>
        <c:axId val="80638336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2800"/>
                  <a:t>L,[m]</a:t>
                </a:r>
              </a:p>
            </c:rich>
          </c:tx>
          <c:layout>
            <c:manualLayout>
              <c:xMode val="edge"/>
              <c:yMode val="edge"/>
              <c:x val="0.90552665830525392"/>
              <c:y val="0.89979006066864609"/>
            </c:manualLayout>
          </c:layout>
        </c:title>
        <c:numFmt formatCode="#,##0.00" sourceLinked="0"/>
        <c:tickLblPos val="nextTo"/>
        <c:crossAx val="80640256"/>
        <c:crosses val="autoZero"/>
        <c:auto val="1"/>
        <c:lblAlgn val="ctr"/>
        <c:lblOffset val="100"/>
        <c:tickMarkSkip val="2"/>
      </c:catAx>
      <c:valAx>
        <c:axId val="80640256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 sz="2800"/>
                  <a:t>T,[C]</a:t>
                </a:r>
              </a:p>
            </c:rich>
          </c:tx>
          <c:layout>
            <c:manualLayout>
              <c:xMode val="edge"/>
              <c:yMode val="edge"/>
              <c:x val="4.0301976538646964E-2"/>
              <c:y val="4.5758306441203024E-2"/>
            </c:manualLayout>
          </c:layout>
        </c:title>
        <c:numFmt formatCode="General" sourceLinked="1"/>
        <c:tickLblPos val="nextTo"/>
        <c:crossAx val="80638336"/>
        <c:crosses val="autoZero"/>
        <c:crossBetween val="between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174625</xdr:colOff>
      <xdr:row>17</xdr:row>
      <xdr:rowOff>158750</xdr:rowOff>
    </xdr:from>
    <xdr:to>
      <xdr:col>26</xdr:col>
      <xdr:colOff>365125</xdr:colOff>
      <xdr:row>46</xdr:row>
      <xdr:rowOff>95250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174625</xdr:colOff>
      <xdr:row>24</xdr:row>
      <xdr:rowOff>142875</xdr:rowOff>
    </xdr:from>
    <xdr:to>
      <xdr:col>16</xdr:col>
      <xdr:colOff>365125</xdr:colOff>
      <xdr:row>53</xdr:row>
      <xdr:rowOff>79375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174624</xdr:colOff>
      <xdr:row>24</xdr:row>
      <xdr:rowOff>95250</xdr:rowOff>
    </xdr:from>
    <xdr:to>
      <xdr:col>28</xdr:col>
      <xdr:colOff>460374</xdr:colOff>
      <xdr:row>53</xdr:row>
      <xdr:rowOff>111125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3:AJ18"/>
  <sheetViews>
    <sheetView topLeftCell="J10" zoomScale="60" zoomScaleNormal="60" workbookViewId="0">
      <selection activeCell="AI14" sqref="AI14"/>
    </sheetView>
  </sheetViews>
  <sheetFormatPr defaultRowHeight="15"/>
  <cols>
    <col min="7" max="7" width="10.7109375" bestFit="1" customWidth="1"/>
    <col min="8" max="8" width="14.85546875" bestFit="1" customWidth="1"/>
    <col min="9" max="9" width="14.140625" bestFit="1" customWidth="1"/>
    <col min="10" max="10" width="14.85546875" bestFit="1" customWidth="1"/>
    <col min="11" max="11" width="14.140625" bestFit="1" customWidth="1"/>
    <col min="12" max="12" width="14.85546875" bestFit="1" customWidth="1"/>
    <col min="13" max="13" width="14.140625" bestFit="1" customWidth="1"/>
    <col min="14" max="14" width="14.85546875" bestFit="1" customWidth="1"/>
    <col min="15" max="15" width="14.140625" bestFit="1" customWidth="1"/>
    <col min="16" max="16" width="14.85546875" bestFit="1" customWidth="1"/>
    <col min="17" max="17" width="13" bestFit="1" customWidth="1"/>
    <col min="18" max="18" width="14.85546875" bestFit="1" customWidth="1"/>
    <col min="19" max="19" width="14.140625" bestFit="1" customWidth="1"/>
    <col min="20" max="20" width="14.85546875" bestFit="1" customWidth="1"/>
    <col min="21" max="21" width="14.140625" bestFit="1" customWidth="1"/>
    <col min="22" max="22" width="14.85546875" bestFit="1" customWidth="1"/>
    <col min="23" max="23" width="14.140625" bestFit="1" customWidth="1"/>
    <col min="24" max="24" width="14.85546875" bestFit="1" customWidth="1"/>
    <col min="25" max="25" width="14.140625" bestFit="1" customWidth="1"/>
    <col min="26" max="26" width="14.85546875" bestFit="1" customWidth="1"/>
    <col min="27" max="27" width="14.140625" bestFit="1" customWidth="1"/>
    <col min="28" max="28" width="14.85546875" bestFit="1" customWidth="1"/>
    <col min="29" max="29" width="14.140625" bestFit="1" customWidth="1"/>
    <col min="30" max="30" width="14.85546875" bestFit="1" customWidth="1"/>
    <col min="31" max="31" width="14.140625" bestFit="1" customWidth="1"/>
    <col min="32" max="32" width="14.85546875" bestFit="1" customWidth="1"/>
    <col min="33" max="33" width="14.140625" bestFit="1" customWidth="1"/>
    <col min="34" max="34" width="14.85546875" bestFit="1" customWidth="1"/>
    <col min="35" max="35" width="13" bestFit="1" customWidth="1"/>
  </cols>
  <sheetData>
    <row r="3" spans="2:36">
      <c r="B3" t="s">
        <v>0</v>
      </c>
      <c r="C3">
        <v>0.1</v>
      </c>
    </row>
    <row r="4" spans="2:36">
      <c r="B4" t="s">
        <v>1</v>
      </c>
      <c r="C4">
        <f>C3/30</f>
        <v>3.3333333333333335E-3</v>
      </c>
      <c r="G4">
        <f>C6/C5</f>
        <v>30</v>
      </c>
    </row>
    <row r="5" spans="2:36">
      <c r="B5" t="s">
        <v>2</v>
      </c>
      <c r="C5">
        <v>2</v>
      </c>
    </row>
    <row r="6" spans="2:36">
      <c r="B6" t="s">
        <v>3</v>
      </c>
      <c r="C6">
        <v>60</v>
      </c>
      <c r="D6">
        <v>61</v>
      </c>
    </row>
    <row r="8" spans="2:36">
      <c r="B8" t="s">
        <v>4</v>
      </c>
      <c r="C8">
        <v>460</v>
      </c>
    </row>
    <row r="9" spans="2:36">
      <c r="B9" t="s">
        <v>5</v>
      </c>
      <c r="C9">
        <v>7800</v>
      </c>
    </row>
    <row r="10" spans="2:36">
      <c r="B10" t="s">
        <v>6</v>
      </c>
      <c r="C10">
        <v>46</v>
      </c>
    </row>
    <row r="11" spans="2:36">
      <c r="F11">
        <v>1</v>
      </c>
      <c r="G11">
        <v>2</v>
      </c>
      <c r="H11">
        <v>3</v>
      </c>
      <c r="I11">
        <v>4</v>
      </c>
      <c r="J11">
        <v>5</v>
      </c>
      <c r="K11">
        <v>6</v>
      </c>
      <c r="L11">
        <v>7</v>
      </c>
      <c r="M11">
        <v>8</v>
      </c>
      <c r="N11">
        <v>9</v>
      </c>
      <c r="O11">
        <v>10</v>
      </c>
      <c r="P11">
        <v>11</v>
      </c>
      <c r="Q11">
        <v>12</v>
      </c>
      <c r="R11">
        <v>13</v>
      </c>
      <c r="S11">
        <v>14</v>
      </c>
      <c r="T11">
        <v>15</v>
      </c>
      <c r="U11">
        <v>16</v>
      </c>
      <c r="V11">
        <v>17</v>
      </c>
      <c r="W11">
        <v>18</v>
      </c>
      <c r="X11">
        <v>19</v>
      </c>
      <c r="Y11">
        <v>20</v>
      </c>
      <c r="Z11">
        <v>21</v>
      </c>
      <c r="AA11">
        <v>22</v>
      </c>
      <c r="AB11">
        <v>23</v>
      </c>
      <c r="AC11">
        <v>24</v>
      </c>
      <c r="AD11">
        <v>25</v>
      </c>
      <c r="AE11">
        <v>26</v>
      </c>
      <c r="AF11">
        <v>27</v>
      </c>
      <c r="AG11">
        <v>28</v>
      </c>
      <c r="AH11">
        <v>29</v>
      </c>
      <c r="AI11">
        <v>30</v>
      </c>
      <c r="AJ11">
        <v>31</v>
      </c>
    </row>
    <row r="12" spans="2:36">
      <c r="B12" t="s">
        <v>8</v>
      </c>
      <c r="C12">
        <v>300</v>
      </c>
      <c r="E12" t="s">
        <v>0</v>
      </c>
      <c r="F12">
        <v>0</v>
      </c>
      <c r="G12">
        <f>F12+$C$4</f>
        <v>3.3333333333333335E-3</v>
      </c>
      <c r="H12">
        <f t="shared" ref="H12:AJ12" si="0">G12+$C$4</f>
        <v>6.6666666666666671E-3</v>
      </c>
      <c r="I12">
        <f t="shared" si="0"/>
        <v>0.01</v>
      </c>
      <c r="J12">
        <f t="shared" si="0"/>
        <v>1.3333333333333334E-2</v>
      </c>
      <c r="K12">
        <f t="shared" si="0"/>
        <v>1.6666666666666666E-2</v>
      </c>
      <c r="L12">
        <f t="shared" si="0"/>
        <v>0.02</v>
      </c>
      <c r="M12">
        <f t="shared" si="0"/>
        <v>2.3333333333333334E-2</v>
      </c>
      <c r="N12">
        <f t="shared" si="0"/>
        <v>2.6666666666666668E-2</v>
      </c>
      <c r="O12">
        <f t="shared" si="0"/>
        <v>3.0000000000000002E-2</v>
      </c>
      <c r="P12">
        <f t="shared" si="0"/>
        <v>3.3333333333333333E-2</v>
      </c>
      <c r="Q12">
        <f t="shared" si="0"/>
        <v>3.6666666666666667E-2</v>
      </c>
      <c r="R12">
        <f t="shared" si="0"/>
        <v>0.04</v>
      </c>
      <c r="S12">
        <f t="shared" si="0"/>
        <v>4.3333333333333335E-2</v>
      </c>
      <c r="T12">
        <f t="shared" si="0"/>
        <v>4.6666666666666669E-2</v>
      </c>
      <c r="U12">
        <f t="shared" si="0"/>
        <v>0.05</v>
      </c>
      <c r="V12">
        <f t="shared" si="0"/>
        <v>5.3333333333333337E-2</v>
      </c>
      <c r="W12">
        <f t="shared" si="0"/>
        <v>5.6666666666666671E-2</v>
      </c>
      <c r="X12">
        <f t="shared" si="0"/>
        <v>6.0000000000000005E-2</v>
      </c>
      <c r="Y12">
        <f t="shared" si="0"/>
        <v>6.3333333333333339E-2</v>
      </c>
      <c r="Z12">
        <f t="shared" si="0"/>
        <v>6.6666666666666666E-2</v>
      </c>
      <c r="AA12">
        <f t="shared" si="0"/>
        <v>6.9999999999999993E-2</v>
      </c>
      <c r="AB12">
        <f t="shared" si="0"/>
        <v>7.333333333333332E-2</v>
      </c>
      <c r="AC12">
        <f t="shared" si="0"/>
        <v>7.6666666666666647E-2</v>
      </c>
      <c r="AD12">
        <f t="shared" si="0"/>
        <v>7.9999999999999974E-2</v>
      </c>
      <c r="AE12">
        <f t="shared" si="0"/>
        <v>8.3333333333333301E-2</v>
      </c>
      <c r="AF12">
        <f t="shared" si="0"/>
        <v>8.6666666666666628E-2</v>
      </c>
      <c r="AG12">
        <f t="shared" si="0"/>
        <v>8.9999999999999955E-2</v>
      </c>
      <c r="AH12">
        <f t="shared" si="0"/>
        <v>9.3333333333333282E-2</v>
      </c>
      <c r="AI12">
        <f t="shared" si="0"/>
        <v>9.6666666666666609E-2</v>
      </c>
      <c r="AJ12">
        <f t="shared" si="0"/>
        <v>9.9999999999999936E-2</v>
      </c>
    </row>
    <row r="13" spans="2:36">
      <c r="B13" t="s">
        <v>9</v>
      </c>
      <c r="C13">
        <v>100</v>
      </c>
      <c r="E13" t="s">
        <v>7</v>
      </c>
      <c r="F13"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100</v>
      </c>
    </row>
    <row r="15" spans="2:36">
      <c r="E15" t="s">
        <v>10</v>
      </c>
      <c r="G15">
        <f>G13+(($C$10*$C$5)/($C$9*$C$8))*((H13-2*G13+F13)/($C$4^2))</f>
        <v>692.30769230769215</v>
      </c>
      <c r="H15">
        <f t="shared" ref="H15:AI15" si="1">H13+(($C$10*$C$5)/($C$9*$C$8))*((I13-2*H13+G13)/($C$4^2))</f>
        <v>0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0</v>
      </c>
      <c r="Q15">
        <f t="shared" si="1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0</v>
      </c>
      <c r="AI15">
        <f t="shared" si="1"/>
        <v>230.76923076923072</v>
      </c>
    </row>
    <row r="16" spans="2:36">
      <c r="E16" t="s">
        <v>11</v>
      </c>
      <c r="F16">
        <v>92000</v>
      </c>
      <c r="G16">
        <f>-$C$10*((G13-F13)/$C$4)</f>
        <v>4140000</v>
      </c>
      <c r="H16">
        <f t="shared" ref="H16:AI16" si="2">-$C$10*((H13-G13)/$C$4)</f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>
        <f t="shared" si="2"/>
        <v>0</v>
      </c>
      <c r="N16">
        <f t="shared" si="2"/>
        <v>0</v>
      </c>
      <c r="O16">
        <f t="shared" si="2"/>
        <v>0</v>
      </c>
      <c r="P16">
        <f t="shared" si="2"/>
        <v>0</v>
      </c>
      <c r="Q16">
        <f t="shared" si="2"/>
        <v>0</v>
      </c>
      <c r="R16">
        <f t="shared" si="2"/>
        <v>0</v>
      </c>
      <c r="S16">
        <f t="shared" si="2"/>
        <v>0</v>
      </c>
      <c r="T16">
        <f t="shared" si="2"/>
        <v>0</v>
      </c>
      <c r="U16">
        <f t="shared" si="2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>
        <f t="shared" si="2"/>
        <v>0</v>
      </c>
      <c r="AA16">
        <f t="shared" si="2"/>
        <v>0</v>
      </c>
      <c r="AB16">
        <f t="shared" si="2"/>
        <v>0</v>
      </c>
      <c r="AC16">
        <f t="shared" si="2"/>
        <v>0</v>
      </c>
      <c r="AD16">
        <f t="shared" si="2"/>
        <v>0</v>
      </c>
      <c r="AE16">
        <f t="shared" si="2"/>
        <v>0</v>
      </c>
      <c r="AF16">
        <f t="shared" si="2"/>
        <v>0</v>
      </c>
      <c r="AG16">
        <f t="shared" si="2"/>
        <v>0</v>
      </c>
      <c r="AH16">
        <f t="shared" si="2"/>
        <v>0</v>
      </c>
      <c r="AI16">
        <f t="shared" si="2"/>
        <v>0</v>
      </c>
    </row>
    <row r="18" spans="8:8">
      <c r="H18" s="1"/>
    </row>
  </sheetData>
  <conditionalFormatting sqref="F13:AJ13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3:AJ20"/>
  <sheetViews>
    <sheetView tabSelected="1" topLeftCell="A20" zoomScale="60" zoomScaleNormal="60" workbookViewId="0">
      <selection activeCell="C5" sqref="C5"/>
    </sheetView>
  </sheetViews>
  <sheetFormatPr defaultRowHeight="15"/>
  <cols>
    <col min="3" max="3" width="14" customWidth="1"/>
    <col min="6" max="6" width="14.140625" bestFit="1" customWidth="1"/>
    <col min="7" max="7" width="11" bestFit="1" customWidth="1"/>
    <col min="19" max="19" width="14" customWidth="1"/>
  </cols>
  <sheetData>
    <row r="3" spans="2:36">
      <c r="B3" t="s">
        <v>0</v>
      </c>
      <c r="C3">
        <v>0.1</v>
      </c>
    </row>
    <row r="4" spans="2:36">
      <c r="B4" t="s">
        <v>1</v>
      </c>
      <c r="C4">
        <f>C3/30</f>
        <v>3.3333333333333335E-3</v>
      </c>
    </row>
    <row r="5" spans="2:36">
      <c r="B5" t="s">
        <v>15</v>
      </c>
      <c r="C5" s="3">
        <v>0.43</v>
      </c>
    </row>
    <row r="6" spans="2:36">
      <c r="B6" t="s">
        <v>3</v>
      </c>
      <c r="C6">
        <v>60</v>
      </c>
      <c r="D6">
        <v>61</v>
      </c>
    </row>
    <row r="8" spans="2:36">
      <c r="B8" t="s">
        <v>4</v>
      </c>
      <c r="C8">
        <v>460</v>
      </c>
    </row>
    <row r="9" spans="2:36">
      <c r="B9" t="s">
        <v>5</v>
      </c>
      <c r="C9">
        <v>7800</v>
      </c>
    </row>
    <row r="10" spans="2:36">
      <c r="B10" t="s">
        <v>6</v>
      </c>
      <c r="C10">
        <v>46</v>
      </c>
    </row>
    <row r="11" spans="2:36">
      <c r="F11">
        <v>1</v>
      </c>
      <c r="G11">
        <v>2</v>
      </c>
      <c r="H11">
        <v>3</v>
      </c>
      <c r="I11">
        <v>4</v>
      </c>
      <c r="J11">
        <v>5</v>
      </c>
      <c r="K11">
        <v>6</v>
      </c>
      <c r="L11">
        <v>7</v>
      </c>
      <c r="M11">
        <v>8</v>
      </c>
      <c r="N11">
        <v>9</v>
      </c>
      <c r="O11">
        <v>10</v>
      </c>
      <c r="P11">
        <v>11</v>
      </c>
      <c r="Q11">
        <v>12</v>
      </c>
      <c r="R11">
        <v>13</v>
      </c>
      <c r="S11">
        <v>14</v>
      </c>
      <c r="T11">
        <v>15</v>
      </c>
      <c r="U11">
        <v>16</v>
      </c>
      <c r="V11">
        <v>17</v>
      </c>
      <c r="W11">
        <v>18</v>
      </c>
      <c r="X11">
        <v>19</v>
      </c>
      <c r="Y11">
        <v>20</v>
      </c>
      <c r="Z11">
        <v>21</v>
      </c>
      <c r="AA11">
        <v>22</v>
      </c>
      <c r="AB11">
        <v>23</v>
      </c>
      <c r="AC11">
        <v>24</v>
      </c>
      <c r="AD11">
        <v>25</v>
      </c>
      <c r="AE11">
        <v>26</v>
      </c>
      <c r="AF11">
        <v>27</v>
      </c>
      <c r="AG11">
        <v>28</v>
      </c>
      <c r="AH11">
        <v>29</v>
      </c>
      <c r="AI11">
        <v>30</v>
      </c>
      <c r="AJ11">
        <v>31</v>
      </c>
    </row>
    <row r="12" spans="2:36">
      <c r="B12" t="s">
        <v>8</v>
      </c>
      <c r="C12">
        <v>92000</v>
      </c>
      <c r="E12" t="s">
        <v>0</v>
      </c>
      <c r="F12">
        <v>0</v>
      </c>
      <c r="G12">
        <f>F12+$C$4</f>
        <v>3.3333333333333335E-3</v>
      </c>
      <c r="H12">
        <f t="shared" ref="H12:AJ12" si="0">G12+$C$4</f>
        <v>6.6666666666666671E-3</v>
      </c>
      <c r="I12">
        <f t="shared" si="0"/>
        <v>0.01</v>
      </c>
      <c r="J12">
        <f t="shared" si="0"/>
        <v>1.3333333333333334E-2</v>
      </c>
      <c r="K12">
        <f t="shared" si="0"/>
        <v>1.6666666666666666E-2</v>
      </c>
      <c r="L12">
        <f t="shared" si="0"/>
        <v>0.02</v>
      </c>
      <c r="M12">
        <f t="shared" si="0"/>
        <v>2.3333333333333334E-2</v>
      </c>
      <c r="N12">
        <f t="shared" si="0"/>
        <v>2.6666666666666668E-2</v>
      </c>
      <c r="O12">
        <f t="shared" si="0"/>
        <v>3.0000000000000002E-2</v>
      </c>
      <c r="P12">
        <f t="shared" si="0"/>
        <v>3.3333333333333333E-2</v>
      </c>
      <c r="Q12">
        <f t="shared" si="0"/>
        <v>3.6666666666666667E-2</v>
      </c>
      <c r="R12">
        <f t="shared" si="0"/>
        <v>0.04</v>
      </c>
      <c r="S12">
        <f t="shared" si="0"/>
        <v>4.3333333333333335E-2</v>
      </c>
      <c r="T12">
        <f t="shared" si="0"/>
        <v>4.6666666666666669E-2</v>
      </c>
      <c r="U12">
        <f t="shared" si="0"/>
        <v>0.05</v>
      </c>
      <c r="V12">
        <f t="shared" si="0"/>
        <v>5.3333333333333337E-2</v>
      </c>
      <c r="W12">
        <f t="shared" si="0"/>
        <v>5.6666666666666671E-2</v>
      </c>
      <c r="X12">
        <f t="shared" si="0"/>
        <v>6.0000000000000005E-2</v>
      </c>
      <c r="Y12">
        <f t="shared" si="0"/>
        <v>6.3333333333333339E-2</v>
      </c>
      <c r="Z12">
        <f t="shared" si="0"/>
        <v>6.6666666666666666E-2</v>
      </c>
      <c r="AA12">
        <f t="shared" si="0"/>
        <v>6.9999999999999993E-2</v>
      </c>
      <c r="AB12">
        <f t="shared" si="0"/>
        <v>7.333333333333332E-2</v>
      </c>
      <c r="AC12">
        <f t="shared" si="0"/>
        <v>7.6666666666666647E-2</v>
      </c>
      <c r="AD12">
        <f t="shared" si="0"/>
        <v>7.9999999999999974E-2</v>
      </c>
      <c r="AE12">
        <f t="shared" si="0"/>
        <v>8.3333333333333301E-2</v>
      </c>
      <c r="AF12">
        <f t="shared" si="0"/>
        <v>8.6666666666666628E-2</v>
      </c>
      <c r="AG12">
        <f t="shared" si="0"/>
        <v>8.9999999999999955E-2</v>
      </c>
      <c r="AH12">
        <f t="shared" si="0"/>
        <v>9.3333333333333282E-2</v>
      </c>
      <c r="AI12">
        <f t="shared" si="0"/>
        <v>9.6666666666666609E-2</v>
      </c>
      <c r="AJ12">
        <f t="shared" si="0"/>
        <v>9.9999999999999936E-2</v>
      </c>
    </row>
    <row r="13" spans="2:36">
      <c r="B13" t="s">
        <v>9</v>
      </c>
      <c r="C13">
        <v>100</v>
      </c>
      <c r="E13" t="s">
        <v>7</v>
      </c>
      <c r="F13">
        <v>300</v>
      </c>
      <c r="G13">
        <v>287.1925580024872</v>
      </c>
      <c r="H13">
        <v>274.45389945090841</v>
      </c>
      <c r="I13">
        <v>261.85198771975558</v>
      </c>
      <c r="J13">
        <v>249.45315800297954</v>
      </c>
      <c r="K13">
        <v>237.32133286127006</v>
      </c>
      <c r="L13">
        <v>225.51727259277288</v>
      </c>
      <c r="M13">
        <v>214.09787082745635</v>
      </c>
      <c r="N13">
        <v>203.11550476569897</v>
      </c>
      <c r="O13">
        <v>192.61744832326787</v>
      </c>
      <c r="P13">
        <v>182.64535514710548</v>
      </c>
      <c r="Q13">
        <v>173.23481707220088</v>
      </c>
      <c r="R13">
        <v>164.41500214384996</v>
      </c>
      <c r="S13">
        <v>156.20837487605183</v>
      </c>
      <c r="T13">
        <v>148.63049999768077</v>
      </c>
      <c r="U13">
        <v>141.68992959160192</v>
      </c>
      <c r="V13">
        <v>135.38817229098748</v>
      </c>
      <c r="W13">
        <v>129.7197420882992</v>
      </c>
      <c r="X13">
        <v>124.67228335523129</v>
      </c>
      <c r="Y13">
        <v>120.22676787840741</v>
      </c>
      <c r="Z13">
        <v>116.35775909043107</v>
      </c>
      <c r="AA13">
        <v>113.03373821655737</v>
      </c>
      <c r="AB13">
        <v>110.2174867549019</v>
      </c>
      <c r="AC13">
        <v>107.86651954830063</v>
      </c>
      <c r="AD13">
        <v>105.93356266975184</v>
      </c>
      <c r="AE13">
        <v>104.36707040857154</v>
      </c>
      <c r="AF13">
        <v>103.11177578665178</v>
      </c>
      <c r="AG13">
        <v>102.10926922835259</v>
      </c>
      <c r="AH13">
        <v>101.29860022873005</v>
      </c>
      <c r="AI13">
        <v>100.61689708957026</v>
      </c>
      <c r="AJ13">
        <v>100</v>
      </c>
    </row>
    <row r="15" spans="2:36">
      <c r="E15" t="s">
        <v>10</v>
      </c>
      <c r="G15">
        <f>G19*H15+G20</f>
        <v>287.22648474294294</v>
      </c>
      <c r="H15">
        <f t="shared" ref="H15:AI15" si="1">H19*I15+H20</f>
        <v>274.5213489627734</v>
      </c>
      <c r="I15">
        <f t="shared" si="1"/>
        <v>261.95215793520003</v>
      </c>
      <c r="J15">
        <f t="shared" si="1"/>
        <v>249.58486036511187</v>
      </c>
      <c r="K15">
        <f t="shared" si="1"/>
        <v>237.48300941637552</v>
      </c>
      <c r="L15">
        <f t="shared" si="1"/>
        <v>225.70701819110764</v>
      </c>
      <c r="M15">
        <f t="shared" si="1"/>
        <v>214.3134599547314</v>
      </c>
      <c r="N15">
        <f t="shared" si="1"/>
        <v>203.35442243999472</v>
      </c>
      <c r="O15">
        <f t="shared" si="1"/>
        <v>192.87692442383857</v>
      </c>
      <c r="P15">
        <f t="shared" si="1"/>
        <v>182.92240149410404</v>
      </c>
      <c r="Q15">
        <f t="shared" si="1"/>
        <v>173.52626655056812</v>
      </c>
      <c r="R15">
        <f t="shared" si="1"/>
        <v>164.71754916033046</v>
      </c>
      <c r="S15">
        <f t="shared" si="1"/>
        <v>156.51861645447212</v>
      </c>
      <c r="T15">
        <f t="shared" si="1"/>
        <v>148.94497685240663</v>
      </c>
      <c r="U15">
        <f t="shared" si="1"/>
        <v>142.00516656994355</v>
      </c>
      <c r="V15">
        <f t="shared" si="1"/>
        <v>135.70071763917679</v>
      </c>
      <c r="W15">
        <f t="shared" si="1"/>
        <v>130.02620506910165</v>
      </c>
      <c r="X15">
        <f t="shared" si="1"/>
        <v>124.96936982467489</v>
      </c>
      <c r="Y15">
        <f t="shared" si="1"/>
        <v>120.51131351090967</v>
      </c>
      <c r="Z15">
        <f t="shared" si="1"/>
        <v>116.62676002234285</v>
      </c>
      <c r="AA15">
        <f t="shared" si="1"/>
        <v>113.28437895468353</v>
      </c>
      <c r="AB15">
        <f t="shared" si="1"/>
        <v>110.44716526619327</v>
      </c>
      <c r="AC15">
        <f t="shared" si="1"/>
        <v>108.07286950743759</v>
      </c>
      <c r="AD15">
        <f t="shared" si="1"/>
        <v>106.1144728911285</v>
      </c>
      <c r="AE15">
        <f t="shared" si="1"/>
        <v>104.52070152720646</v>
      </c>
      <c r="AF15">
        <f t="shared" si="1"/>
        <v>103.23657427836257</v>
      </c>
      <c r="AG15">
        <f t="shared" si="1"/>
        <v>102.20397887327685</v>
      </c>
      <c r="AH15">
        <f t="shared" si="1"/>
        <v>101.36227112462763</v>
      </c>
      <c r="AI15">
        <f t="shared" si="1"/>
        <v>100.6488923134464</v>
      </c>
      <c r="AJ15">
        <f>AJ13</f>
        <v>100</v>
      </c>
    </row>
    <row r="16" spans="2:36">
      <c r="B16" t="s">
        <v>12</v>
      </c>
      <c r="C16" s="2">
        <f>C10/(C4^2)</f>
        <v>4139999.9999999991</v>
      </c>
      <c r="E16" t="s">
        <v>11</v>
      </c>
      <c r="F16">
        <v>92000</v>
      </c>
      <c r="G16">
        <f>-$C$10*((G13-F13)/$C$4)</f>
        <v>176742.69956567656</v>
      </c>
      <c r="H16">
        <f t="shared" ref="H16:AH16" si="2">-$C$10*((H13-G13)/$C$4)</f>
        <v>175793.48801178735</v>
      </c>
      <c r="I16">
        <f t="shared" si="2"/>
        <v>173906.38188990898</v>
      </c>
      <c r="J16">
        <f t="shared" si="2"/>
        <v>171103.85009150946</v>
      </c>
      <c r="K16">
        <f t="shared" si="2"/>
        <v>167419.18695559067</v>
      </c>
      <c r="L16">
        <f t="shared" si="2"/>
        <v>162896.03170526109</v>
      </c>
      <c r="M16">
        <f t="shared" si="2"/>
        <v>157587.74436136818</v>
      </c>
      <c r="N16">
        <f t="shared" si="2"/>
        <v>151556.65165225178</v>
      </c>
      <c r="O16">
        <f t="shared" si="2"/>
        <v>144873.17890554928</v>
      </c>
      <c r="P16">
        <f t="shared" si="2"/>
        <v>137614.88583104097</v>
      </c>
      <c r="Q16">
        <f t="shared" si="2"/>
        <v>129865.42543368338</v>
      </c>
      <c r="R16">
        <f t="shared" si="2"/>
        <v>121713.44601124272</v>
      </c>
      <c r="S16">
        <f t="shared" si="2"/>
        <v>113251.45629561415</v>
      </c>
      <c r="T16">
        <f t="shared" si="2"/>
        <v>104574.67332152066</v>
      </c>
      <c r="U16">
        <f t="shared" si="2"/>
        <v>95779.871603888096</v>
      </c>
      <c r="V16">
        <f t="shared" si="2"/>
        <v>86964.250748479259</v>
      </c>
      <c r="W16">
        <f t="shared" si="2"/>
        <v>78224.336797098324</v>
      </c>
      <c r="X16">
        <f t="shared" si="2"/>
        <v>69654.93051633719</v>
      </c>
      <c r="Y16">
        <f t="shared" si="2"/>
        <v>61348.113580169418</v>
      </c>
      <c r="Z16">
        <f t="shared" si="2"/>
        <v>53392.321274073496</v>
      </c>
      <c r="AA16">
        <f t="shared" si="2"/>
        <v>45871.488059457144</v>
      </c>
      <c r="AB16">
        <f t="shared" si="2"/>
        <v>38864.27017084547</v>
      </c>
      <c r="AC16">
        <f t="shared" si="2"/>
        <v>32443.347451097503</v>
      </c>
      <c r="AD16">
        <f t="shared" si="2"/>
        <v>26674.804923973352</v>
      </c>
      <c r="AE16">
        <f t="shared" si="2"/>
        <v>21617.593204288147</v>
      </c>
      <c r="AF16">
        <f t="shared" si="2"/>
        <v>17323.065782492678</v>
      </c>
      <c r="AG16">
        <f t="shared" si="2"/>
        <v>13834.590504528802</v>
      </c>
      <c r="AH16">
        <f t="shared" si="2"/>
        <v>11187.23219479099</v>
      </c>
      <c r="AI16">
        <f>AI20*AJ16+AI21</f>
        <v>0</v>
      </c>
    </row>
    <row r="17" spans="2:35">
      <c r="B17" t="s">
        <v>13</v>
      </c>
      <c r="C17" s="2">
        <f>((2*C10)/(C4^2))+(C9*C8)/C5</f>
        <v>16624186.046511626</v>
      </c>
    </row>
    <row r="18" spans="2:35">
      <c r="B18" t="s">
        <v>14</v>
      </c>
      <c r="C18" s="2">
        <f>C16</f>
        <v>4139999.9999999991</v>
      </c>
      <c r="E18" t="s">
        <v>16</v>
      </c>
      <c r="F18">
        <f>-(($C$9*$C$8)/$C$5)*F13</f>
        <v>-2503255813.9534883</v>
      </c>
      <c r="G18">
        <f t="shared" ref="G18:AI18" si="3">-(($C$9*$C$8)/$C$5)*G13</f>
        <v>-2396388135.1463351</v>
      </c>
      <c r="H18">
        <f t="shared" si="3"/>
        <v>-2290094398.2089753</v>
      </c>
      <c r="I18">
        <f t="shared" si="3"/>
        <v>-2184941702.1825185</v>
      </c>
      <c r="J18">
        <f t="shared" si="3"/>
        <v>-2081483560.2667222</v>
      </c>
      <c r="K18">
        <f t="shared" si="3"/>
        <v>-1980253354.200551</v>
      </c>
      <c r="L18">
        <f t="shared" si="3"/>
        <v>-1881758079.2159746</v>
      </c>
      <c r="M18">
        <f t="shared" si="3"/>
        <v>-1786472466.3463101</v>
      </c>
      <c r="N18">
        <f t="shared" si="3"/>
        <v>-1694833560.6961114</v>
      </c>
      <c r="O18">
        <f t="shared" si="3"/>
        <v>-1607235824.6136863</v>
      </c>
      <c r="P18">
        <f t="shared" si="3"/>
        <v>-1524026823.8786383</v>
      </c>
      <c r="Q18">
        <f t="shared" si="3"/>
        <v>-1445503543.383853</v>
      </c>
      <c r="R18">
        <f t="shared" si="3"/>
        <v>-1371909366.7258923</v>
      </c>
      <c r="S18">
        <f t="shared" si="3"/>
        <v>-1303431741.9890091</v>
      </c>
      <c r="T18">
        <f t="shared" si="3"/>
        <v>-1240200544.1666944</v>
      </c>
      <c r="U18">
        <f t="shared" si="3"/>
        <v>-1182287133.4294598</v>
      </c>
      <c r="V18">
        <f t="shared" si="3"/>
        <v>-1129704098.0931699</v>
      </c>
      <c r="W18">
        <f t="shared" si="3"/>
        <v>-1082405661.8902733</v>
      </c>
      <c r="X18">
        <f t="shared" si="3"/>
        <v>-1040288727.1594647</v>
      </c>
      <c r="Y18">
        <f t="shared" si="3"/>
        <v>-1003194518.9481995</v>
      </c>
      <c r="Z18">
        <f t="shared" si="3"/>
        <v>-970910789.80573642</v>
      </c>
      <c r="AA18">
        <f t="shared" si="3"/>
        <v>-943174541.21164608</v>
      </c>
      <c r="AB18">
        <f t="shared" si="3"/>
        <v>-919675215.06183255</v>
      </c>
      <c r="AC18">
        <f t="shared" si="3"/>
        <v>-900058307.30070388</v>
      </c>
      <c r="AD18">
        <f t="shared" si="3"/>
        <v>-883929355.48620832</v>
      </c>
      <c r="AE18">
        <f t="shared" si="3"/>
        <v>-870858252.61849916</v>
      </c>
      <c r="AF18">
        <f t="shared" si="3"/>
        <v>-860383840.75001526</v>
      </c>
      <c r="AG18">
        <f t="shared" si="3"/>
        <v>-852018739.51471877</v>
      </c>
      <c r="AH18">
        <f t="shared" si="3"/>
        <v>-845254366.55972886</v>
      </c>
      <c r="AI18">
        <f t="shared" si="3"/>
        <v>-839566108.73808861</v>
      </c>
    </row>
    <row r="19" spans="2:35">
      <c r="E19" t="s">
        <v>17</v>
      </c>
      <c r="F19">
        <v>0</v>
      </c>
      <c r="G19">
        <f>$C$16/($C$17-$C$18*F19)</f>
        <v>0.24903474903474901</v>
      </c>
      <c r="H19">
        <f t="shared" ref="H19:AI19" si="4">$C$16/($C$17-$C$18*G19)</f>
        <v>0.26550064962671294</v>
      </c>
      <c r="I19">
        <f t="shared" si="4"/>
        <v>0.2666664372380797</v>
      </c>
      <c r="J19">
        <f t="shared" si="4"/>
        <v>0.26674936332756222</v>
      </c>
      <c r="K19">
        <f t="shared" si="4"/>
        <v>0.26675526408246575</v>
      </c>
      <c r="L19">
        <f t="shared" si="4"/>
        <v>0.26675568397123278</v>
      </c>
      <c r="M19">
        <f t="shared" si="4"/>
        <v>0.26675571384993085</v>
      </c>
      <c r="N19">
        <f t="shared" si="4"/>
        <v>0.26675571597605752</v>
      </c>
      <c r="O19">
        <f t="shared" si="4"/>
        <v>0.26675571612734972</v>
      </c>
      <c r="P19">
        <f t="shared" si="4"/>
        <v>0.2667557161381155</v>
      </c>
      <c r="Q19">
        <f t="shared" si="4"/>
        <v>0.26675571613888155</v>
      </c>
      <c r="R19">
        <f t="shared" si="4"/>
        <v>0.26675571613893606</v>
      </c>
      <c r="S19">
        <f t="shared" si="4"/>
        <v>0.26675571613893995</v>
      </c>
      <c r="T19">
        <f t="shared" si="4"/>
        <v>0.26675571613894022</v>
      </c>
      <c r="U19">
        <f t="shared" si="4"/>
        <v>0.26675571613894022</v>
      </c>
      <c r="V19">
        <f t="shared" si="4"/>
        <v>0.26675571613894022</v>
      </c>
      <c r="W19">
        <f t="shared" si="4"/>
        <v>0.26675571613894022</v>
      </c>
      <c r="X19">
        <f t="shared" si="4"/>
        <v>0.26675571613894022</v>
      </c>
      <c r="Y19">
        <f t="shared" si="4"/>
        <v>0.26675571613894022</v>
      </c>
      <c r="Z19">
        <f t="shared" si="4"/>
        <v>0.26675571613894022</v>
      </c>
      <c r="AA19">
        <f t="shared" si="4"/>
        <v>0.26675571613894022</v>
      </c>
      <c r="AB19">
        <f t="shared" si="4"/>
        <v>0.26675571613894022</v>
      </c>
      <c r="AC19">
        <f t="shared" si="4"/>
        <v>0.26675571613894022</v>
      </c>
      <c r="AD19">
        <f t="shared" si="4"/>
        <v>0.26675571613894022</v>
      </c>
      <c r="AE19">
        <f t="shared" si="4"/>
        <v>0.26675571613894022</v>
      </c>
      <c r="AF19">
        <f t="shared" si="4"/>
        <v>0.26675571613894022</v>
      </c>
      <c r="AG19">
        <f t="shared" si="4"/>
        <v>0.26675571613894022</v>
      </c>
      <c r="AH19">
        <f t="shared" si="4"/>
        <v>0.26675571613894022</v>
      </c>
      <c r="AI19">
        <f t="shared" si="4"/>
        <v>0.26675571613894022</v>
      </c>
    </row>
    <row r="20" spans="2:35">
      <c r="E20" t="s">
        <v>18</v>
      </c>
      <c r="F20">
        <f>F13</f>
        <v>300</v>
      </c>
      <c r="G20">
        <f>(F20*$C$18-G18)/($C$17-$C$18*F19)</f>
        <v>218.86112949931791</v>
      </c>
      <c r="H20">
        <f t="shared" ref="H20:AI20" si="5">(G20*$C$18-H18)/($C$17-$C$18*G19)</f>
        <v>204.97288085985849</v>
      </c>
      <c r="I20">
        <f t="shared" si="5"/>
        <v>195.39625243307208</v>
      </c>
      <c r="J20">
        <f t="shared" si="5"/>
        <v>186.23641880218022</v>
      </c>
      <c r="K20">
        <f t="shared" si="5"/>
        <v>177.27447417354071</v>
      </c>
      <c r="L20">
        <f t="shared" si="5"/>
        <v>168.53768459664184</v>
      </c>
      <c r="M20">
        <f t="shared" si="5"/>
        <v>160.0675058322102</v>
      </c>
      <c r="N20">
        <f t="shared" si="5"/>
        <v>151.90340037005373</v>
      </c>
      <c r="O20">
        <f t="shared" si="5"/>
        <v>144.08132821754427</v>
      </c>
      <c r="P20">
        <f t="shared" si="5"/>
        <v>136.63327799163372</v>
      </c>
      <c r="Q20">
        <f t="shared" si="5"/>
        <v>129.58691876366274</v>
      </c>
      <c r="R20">
        <f t="shared" si="5"/>
        <v>122.9653135389423</v>
      </c>
      <c r="S20">
        <f t="shared" si="5"/>
        <v>116.78669248891057</v>
      </c>
      <c r="T20">
        <f t="shared" si="5"/>
        <v>111.06428694861184</v>
      </c>
      <c r="U20">
        <f t="shared" si="5"/>
        <v>105.80622445553684</v>
      </c>
      <c r="V20">
        <f t="shared" si="5"/>
        <v>101.01548418913987</v>
      </c>
      <c r="W20">
        <f t="shared" si="5"/>
        <v>96.689911326088449</v>
      </c>
      <c r="X20">
        <f t="shared" si="5"/>
        <v>92.822288086227843</v>
      </c>
      <c r="Y20">
        <f t="shared" si="5"/>
        <v>89.40045862018529</v>
      </c>
      <c r="Z20">
        <f t="shared" si="5"/>
        <v>86.407504386931151</v>
      </c>
      <c r="AA20">
        <f t="shared" si="5"/>
        <v>83.821966288584264</v>
      </c>
      <c r="AB20">
        <f t="shared" si="5"/>
        <v>81.618109565546519</v>
      </c>
      <c r="AC20">
        <f t="shared" si="5"/>
        <v>79.76622729865845</v>
      </c>
      <c r="AD20">
        <f t="shared" si="5"/>
        <v>78.232978303894114</v>
      </c>
      <c r="AE20">
        <f t="shared" si="5"/>
        <v>76.981755223850953</v>
      </c>
      <c r="AF20">
        <f t="shared" si="5"/>
        <v>75.973078701772479</v>
      </c>
      <c r="AG20">
        <f t="shared" si="5"/>
        <v>75.165013649957388</v>
      </c>
      <c r="AH20">
        <f t="shared" si="5"/>
        <v>74.513603776963151</v>
      </c>
      <c r="AI20">
        <f t="shared" si="5"/>
        <v>73.973320699552374</v>
      </c>
    </row>
  </sheetData>
  <conditionalFormatting sqref="F13:AJ13">
    <cfRule type="colorScale" priority="2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2021-09-08T16:53:49Z</dcterms:created>
  <dcterms:modified xsi:type="dcterms:W3CDTF">2021-10-21T20:54:30Z</dcterms:modified>
</cp:coreProperties>
</file>